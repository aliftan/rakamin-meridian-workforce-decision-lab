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286670c52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417e29786794fb9"/>
    <x:sheet xmlns:r="http://schemas.openxmlformats.org/officeDocument/2006/relationships" name="Assumptions" sheetId="2" r:id="R72df769eef714647"/>
    <x:sheet xmlns:r="http://schemas.openxmlformats.org/officeDocument/2006/relationships" name="36M Workforce" sheetId="3" r:id="R323a5656ab3948a8"/>
    <x:sheet xmlns:r="http://schemas.openxmlformats.org/officeDocument/2006/relationships" name="Cash &amp; ROI" sheetId="4" r:id="R0663a64b54fa4b56"/>
    <x:sheet xmlns:r="http://schemas.openxmlformats.org/officeDocument/2006/relationships" name="Wait Comparator" sheetId="5" r:id="Rc8d2a20f7e6b4a4b"/>
    <x:sheet xmlns:r="http://schemas.openxmlformats.org/officeDocument/2006/relationships" name="Sensitivities" sheetId="6" r:id="R852d3412e367409a"/>
    <x:sheet xmlns:r="http://schemas.openxmlformats.org/officeDocument/2006/relationships" name="Enterprise Exposure" sheetId="7" r:id="R73a91b7cff1e490d"/>
    <x:sheet xmlns:r="http://schemas.openxmlformats.org/officeDocument/2006/relationships" name="Investment Bridge" sheetId="8" r:id="R2ac6e490ba29410b"/>
    <x:sheet xmlns:r="http://schemas.openxmlformats.org/officeDocument/2006/relationships" name="Adoption Workings" sheetId="9" r:id="Rb50b68f45aa24ab4"/>
    <x:sheet xmlns:r="http://schemas.openxmlformats.org/officeDocument/2006/relationships" name="Counterfactual Decisions" sheetId="10" r:id="R1b8824752eb74119"/>
    <x:sheet xmlns:r="http://schemas.openxmlformats.org/officeDocument/2006/relationships" name="Decision Gates" sheetId="11" r:id="Re054c48367674093"/>
    <x:sheet xmlns:r="http://schemas.openxmlformats.org/officeDocument/2006/relationships" name="Identity and Change" sheetId="12" r:id="R20b5f1e4d31c45a8"/>
    <x:sheet xmlns:r="http://schemas.openxmlformats.org/officeDocument/2006/relationships" name="Ramp Drivers" sheetId="13" r:id="R223305e2a0f8440a"/>
    <x:sheet xmlns:r="http://schemas.openxmlformats.org/officeDocument/2006/relationships" name="Evidence Register" sheetId="14" r:id="R69edc1fad8f248c4"/>
    <x:sheet xmlns:r="http://schemas.openxmlformats.org/officeDocument/2006/relationships" name="Cost Ownership" sheetId="15" r:id="Ra80b1a5d606e4a29"/>
    <x:sheet xmlns:r="http://schemas.openxmlformats.org/officeDocument/2006/relationships" name="Baseline Reference" sheetId="16" r:id="Rc8e498360c5d4953"/>
    <x:sheet xmlns:r="http://schemas.openxmlformats.org/officeDocument/2006/relationships" name="Model Controls" sheetId="17" r:id="R07eb2d0415d74b9c"/>
    <x:sheet xmlns:r="http://schemas.openxmlformats.org/officeDocument/2006/relationships" name="Decision Readout" sheetId="18" r:id="R1ab5cc7738c7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#,##0.00;[Red]-#,##0.00;–"/>
    <x:numFmt numFmtId="201" formatCode="#,##0.0;[Red]-#,##0.0;–"/>
    <x:numFmt numFmtId="202" formatCode="0.000"/>
    <x:numFmt numFmtId="203" formatCode="0.0%"/>
    <x:numFmt numFmtId="204" formatCode="#,##0;[Red]-#,##0"/>
    <x:numFmt numFmtId="205" formatCode="0%;[Red]-0%"/>
    <x:numFmt numFmtId="206" formatCode="0%"/>
    <x:numFmt numFmtId="207" formatCode="#,##0"/>
    <x:numFmt numFmtId="208" formatCode="0.0%;[Red]-0.0%"/>
    <x:numFmt numFmtId="209" formatCode="#,##0.0;[Red](#,##0.0);-"/>
    <x:numFmt numFmtId="210" formatCode="0.00"/>
    <x:numFmt numFmtId="211" formatCode="#,##0.00;[Red](#,##0.00);-"/>
    <x:numFmt numFmtId="212" formatCode="0.00%"/>
    <x:numFmt numFmtId="213" formatCode="#,##0.0;[Red](#,##0.0);&quot;-&quot;"/>
    <x:numFmt numFmtId="214" formatCode="#,##0.00;[Red](#,##0.00);&quot;-&quot;"/>
    <x:numFmt numFmtId="215" formatCode="0%;[Red](0%);&quot;-&quot;"/>
    <x:numFmt numFmtId="216" formatCode="0.00;[Red](0.00);&quot;-&quot;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b/>
      <x:sz val="11"/>
      <x:color rgb="FF143E37"/>
      <x:name val="Carlito"/>
    </x:font>
    <x:font>
      <x:sz val="11"/>
      <x:color rgb="FF008000"/>
      <x:name val="Carlito"/>
    </x:font>
    <x:font>
      <x:b/>
      <x:sz val="11"/>
      <x:color rgb="FF15564C"/>
      <x:name val="Carlito"/>
    </x:font>
    <x:font>
      <x:sz val="11"/>
      <x:color rgb="FF1D4ED8"/>
      <x:name val="Carlito"/>
    </x:font>
    <x:font>
      <x:sz val="11"/>
      <x:color rgb="FF00804A"/>
      <x:name val="Carlito"/>
    </x:font>
    <x:font>
      <x:b/>
      <x:sz val="11"/>
      <x:color rgb="FF00804A"/>
      <x:name val="Carlito"/>
    </x:font>
    <x:font>
      <x:b/>
      <x:sz val="11"/>
      <x:color rgb="FF103B3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03A3A"/>
      </x:patternFill>
    </x:fill>
    <x:fill>
      <x:patternFill patternType="solid">
        <x:fgColor rgb="FF155E63"/>
      </x:patternFill>
    </x:fill>
    <x:fill>
      <x:patternFill patternType="solid">
        <x:fgColor rgb="FFE8F2F0"/>
      </x:patternFill>
    </x:fill>
    <x:fill>
      <x:patternFill patternType="solid">
        <x:fgColor rgb="FFFFF1DE"/>
      </x:patternFill>
    </x:fill>
    <x:fill>
      <x:patternFill patternType="solid">
        <x:fgColor rgb="FF143E37"/>
      </x:patternFill>
    </x:fill>
    <x:fill>
      <x:patternFill patternType="solid">
        <x:fgColor rgb="FFFFF2CA"/>
      </x:patternFill>
    </x:fill>
    <x:fill>
      <x:patternFill patternType="solid">
        <x:fgColor rgb="FFDCEDE7"/>
      </x:patternFill>
    </x:fill>
    <x:fill>
      <x:patternFill patternType="solid">
        <x:fgColor rgb="FFEEF3F0"/>
      </x:patternFill>
    </x:fill>
    <x:fill>
      <x:patternFill patternType="solid">
        <x:fgColor rgb="FF174F47"/>
      </x:patternFill>
    </x:fill>
    <x:fill>
      <x:patternFill patternType="solid">
        <x:fgColor rgb="FFE4F0EC"/>
      </x:patternFill>
    </x:fill>
    <x:fill>
      <x:patternFill patternType="solid">
        <x:fgColor rgb="FF153C35"/>
      </x:patternFill>
    </x:fill>
    <x:fill>
      <x:patternFill patternType="solid">
        <x:fgColor rgb="FFEAF4FF"/>
      </x:patternFill>
    </x:fill>
    <x:fill>
      <x:patternFill patternType="solid">
        <x:fgColor rgb="FF153D33"/>
      </x:patternFill>
    </x:fill>
    <x:fill>
      <x:patternFill patternType="solid">
        <x:fgColor rgb="FFE9F0EB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8" fontId="0" fillId="4" borderId="0" xfId="0" applyNumberFormat="1" applyFont="1" applyFill="1" applyBorder="1"/>
    <x:xf numFmtId="208" fontId="0" fillId="4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06" fontId="0" fillId="7" borderId="0" xfId="0" applyNumberFormat="1" applyFont="1" applyFill="1" applyBorder="1"/>
    <x:xf numFmtId="206" fontId="3" fillId="7" borderId="0" xfId="0" applyNumberFormat="1" applyFont="1" applyFill="1" applyBorder="1"/>
    <x:xf numFmtId="0" fontId="0" fillId="8" borderId="0" xfId="0" applyNumberFormat="1" applyFont="1" applyFill="1" applyBorder="1"/>
    <x:xf numFmtId="209" fontId="0" fillId="8" borderId="0" xfId="0" applyNumberFormat="1" applyFont="1" applyFill="1" applyBorder="1"/>
    <x:xf numFmtId="0" fontId="4" fillId="8" borderId="0" xfId="0" applyNumberFormat="1" applyFont="1" applyFill="1" applyBorder="1"/>
    <x:xf numFmtId="209" fontId="4" fillId="8" borderId="0" xfId="0" applyNumberFormat="1" applyFont="1" applyFill="1" applyBorder="1"/>
    <x:xf numFmtId="209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11" fontId="0" fillId="0" borderId="0" xfId="0" applyNumberFormat="1" applyFont="1" applyFill="1" applyBorder="1"/>
    <x:xf numFmtId="211" fontId="4" fillId="8" borderId="0" xfId="0" applyNumberFormat="1" applyFont="1" applyFill="1" applyBorder="1"/>
    <x:xf numFmtId="211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6" fillId="11" borderId="0" xfId="0" applyNumberFormat="1" applyFont="1" applyFill="1" applyBorder="1"/>
    <x:xf numFmtId="201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201" fontId="6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/>
    <x:xf numFmtId="209" fontId="4" fillId="11" borderId="0" xfId="0" applyNumberFormat="1" applyFont="1" applyFill="1" applyBorder="1"/>
    <x:xf numFmtId="209" fontId="6" fillId="11" borderId="0" xfId="0" applyNumberFormat="1" applyFont="1" applyFill="1" applyBorder="1"/>
    <x:xf numFmtId="209" fontId="6" fillId="11" borderId="0" xfId="0" applyNumberFormat="1" applyFont="1" applyFill="1" applyBorder="1" applyAlignment="1">
      <x:alignment vertical="center"/>
    </x:xf>
    <x:xf numFmtId="211" fontId="4" fillId="11" borderId="0" xfId="0" applyNumberFormat="1" applyFont="1" applyFill="1" applyBorder="1"/>
    <x:xf numFmtId="211" fontId="6" fillId="11" borderId="0" xfId="0" applyNumberFormat="1" applyFont="1" applyFill="1" applyBorder="1"/>
    <x:xf numFmtId="211" fontId="6" fillId="11" borderId="0" xfId="0" applyNumberFormat="1" applyFont="1" applyFill="1" applyBorder="1" applyAlignment="1">
      <x:alignment vertical="center"/>
    </x:xf>
    <x:xf numFmtId="209" fontId="0" fillId="11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0" fontId="7" fillId="5" borderId="0" xfId="0" applyNumberFormat="1" applyFont="1" applyFill="1" applyBorder="1"/>
    <x:xf numFmtId="0" fontId="7" fillId="0" borderId="0" xfId="0" applyNumberFormat="1" applyFont="1" applyFill="1" applyBorder="1"/>
    <x:xf numFmtId="200" fontId="8" fillId="5" borderId="0" xfId="0" applyNumberFormat="1" applyFont="1" applyFill="1" applyBorder="1"/>
    <x:xf numFmtId="0" fontId="8" fillId="0" borderId="0" xfId="0" applyNumberFormat="1" applyFont="1" applyFill="1" applyBorder="1"/>
    <x:xf numFmtId="212" fontId="7" fillId="0" borderId="0" xfId="0" applyNumberFormat="1" applyFont="1" applyFill="1" applyBorder="1"/>
    <x:xf numFmtId="213" fontId="0" fillId="0" borderId="0" xfId="0" applyNumberFormat="1" applyFont="1" applyFill="1" applyBorder="1"/>
    <x:xf numFmtId="213" fontId="8" fillId="0" borderId="0" xfId="0" applyNumberFormat="1" applyFont="1" applyFill="1" applyBorder="1"/>
    <x:xf numFmtId="211" fontId="8" fillId="7" borderId="0" xfId="0" applyNumberFormat="1" applyFont="1" applyFill="1" applyBorder="1"/>
    <x:xf numFmtId="0" fontId="9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203" fontId="7" fillId="13" borderId="0" xfId="0" applyNumberFormat="1" applyFont="1" applyFill="1" applyBorder="1"/>
    <x:xf numFmtId="200" fontId="7" fillId="13" borderId="0" xfId="0" applyNumberFormat="1" applyFont="1" applyFill="1" applyBorder="1"/>
    <x:xf numFmtId="0" fontId="7" fillId="13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13" fontId="8" fillId="0" borderId="0" xfId="0" applyNumberFormat="1" applyFont="1" applyFill="1" applyBorder="1" applyAlignment="1">
      <x:alignment wrapText="1"/>
    </x:xf>
    <x:xf numFmtId="214" fontId="8" fillId="0" borderId="0" xfId="0" applyNumberFormat="1" applyFont="1" applyFill="1" applyBorder="1" applyAlignment="1">
      <x:alignment wrapText="1"/>
    </x:xf>
    <x:xf numFmtId="215" fontId="8" fillId="0" borderId="0" xfId="0" applyNumberFormat="1" applyFont="1" applyFill="1" applyBorder="1" applyAlignment="1">
      <x:alignment wrapText="1"/>
    </x:xf>
    <x:xf numFmtId="216" fontId="8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69acad16c471e" /><Relationship Type="http://schemas.openxmlformats.org/officeDocument/2006/relationships/theme" Target="/xl/theme/theme1.xml" Id="Reb5ec52d198744f9" /><Relationship Type="http://schemas.openxmlformats.org/officeDocument/2006/relationships/sharedStrings" Target="/xl/sharedStrings.xml" Id="R838dc58bc11f440c" /><Relationship Type="http://schemas.openxmlformats.org/officeDocument/2006/relationships/worksheet" Target="/xl/worksheets/sheet1.xml" Id="R6417e29786794fb9" /><Relationship Type="http://schemas.openxmlformats.org/officeDocument/2006/relationships/worksheet" Target="/xl/worksheets/sheet2.xml" Id="R72df769eef714647" /><Relationship Type="http://schemas.openxmlformats.org/officeDocument/2006/relationships/worksheet" Target="/xl/worksheets/sheet3.xml" Id="R323a5656ab3948a8" /><Relationship Type="http://schemas.openxmlformats.org/officeDocument/2006/relationships/worksheet" Target="/xl/worksheets/sheet4.xml" Id="R0663a64b54fa4b56" /><Relationship Type="http://schemas.openxmlformats.org/officeDocument/2006/relationships/worksheet" Target="/xl/worksheets/sheet5.xml" Id="Rc8d2a20f7e6b4a4b" /><Relationship Type="http://schemas.openxmlformats.org/officeDocument/2006/relationships/worksheet" Target="/xl/worksheets/sheet6.xml" Id="R852d3412e367409a" /><Relationship Type="http://schemas.openxmlformats.org/officeDocument/2006/relationships/worksheet" Target="/xl/worksheets/sheet7.xml" Id="R73a91b7cff1e490d" /><Relationship Type="http://schemas.openxmlformats.org/officeDocument/2006/relationships/worksheet" Target="/xl/worksheets/sheet8.xml" Id="R2ac6e490ba29410b" /><Relationship Type="http://schemas.openxmlformats.org/officeDocument/2006/relationships/worksheet" Target="/xl/worksheets/sheet9.xml" Id="Rb50b68f45aa24ab4" /><Relationship Type="http://schemas.openxmlformats.org/officeDocument/2006/relationships/worksheet" Target="/xl/worksheets/sheet10.xml" Id="R1b8824752eb74119" /><Relationship Type="http://schemas.openxmlformats.org/officeDocument/2006/relationships/worksheet" Target="/xl/worksheets/sheet11.xml" Id="Re054c48367674093" /><Relationship Type="http://schemas.openxmlformats.org/officeDocument/2006/relationships/worksheet" Target="/xl/worksheets/sheet12.xml" Id="R20b5f1e4d31c45a8" /><Relationship Type="http://schemas.openxmlformats.org/officeDocument/2006/relationships/worksheet" Target="/xl/worksheets/sheet13.xml" Id="R223305e2a0f8440a" /><Relationship Type="http://schemas.openxmlformats.org/officeDocument/2006/relationships/worksheet" Target="/xl/worksheets/sheet14.xml" Id="R69edc1fad8f248c4" /><Relationship Type="http://schemas.openxmlformats.org/officeDocument/2006/relationships/worksheet" Target="/xl/worksheets/sheet15.xml" Id="Ra80b1a5d606e4a29" /><Relationship Type="http://schemas.openxmlformats.org/officeDocument/2006/relationships/worksheet" Target="/xl/worksheets/sheet16.xml" Id="Rc8e498360c5d4953" /><Relationship Type="http://schemas.openxmlformats.org/officeDocument/2006/relationships/worksheet" Target="/xl/worksheets/sheet17.xml" Id="R07eb2d0415d74b9c" /><Relationship Type="http://schemas.openxmlformats.org/officeDocument/2006/relationships/worksheet" Target="/xl/worksheets/sheet18.xml" Id="R1ab5cc7738c74a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56" hidden="0" customWidth="1"/>
    <x:col min="4" max="4" width="65" hidden="0" customWidth="1"/>
  </x:cols>
  <x:sheetData>
    <x:row r="1" ht="29" customHeight="1">
      <x:c r="A1" s="66" t="str">
        <x:v>PROJECT MERIDIAN | INTERNAL DECISION MODEL</x:v>
      </x:c>
      <x:c r="B1" s="66" t="str">
        <x:v>STATUS</x:v>
      </x:c>
      <x:c r="C1" s="66" t="str">
        <x:v>OWNER / EVIDENCE</x:v>
      </x:c>
      <x:c r="D1" s="66" t="str">
        <x:v>DECISION USE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6" customHeight="1">
      <x:c r="A2" t="str">
        <x:v>Purpose</x:v>
      </x:c>
      <x:c r="B2" t="str">
        <x:v>INTERNAL ONLY</x:v>
      </x:c>
      <x:c r="C2" t="str">
        <x:v>Product Consultant working model</x:v>
      </x:c>
      <x:c r="D2" t="str">
        <x:v>One numerical source and separated cash/noncash concepts</x:v>
      </x:c>
    </x:row>
    <x:row r="3" ht="22" customHeight="1">
      <x:c r="A3" t="str">
        <x:v>Brief facts</x:v>
      </x:c>
      <x:c r="B3" t="str">
        <x:v>52k / 6k / 70% / Rp3.5B</x:v>
      </x:c>
      <x:c r="C3" t="str">
        <x:v>Project Meridian assignment</x:v>
      </x:c>
      <x:c r="D3" t="str">
        <x:v>Not measured workforce outcomes</x:v>
      </x:c>
    </x:row>
    <x:row r="4" ht="22" customHeight="1">
      <x:c r="A4" t="str">
        <x:v>Core strategic bet</x:v>
      </x:c>
      <x:c r="B4" t="str">
        <x:v>Demand-led capability transformation</x:v>
      </x:c>
      <x:c r="C4" t="str">
        <x:v>Field Metering voluntary pilot</x:v>
      </x:c>
      <x:c r="D4" t="str">
        <x:v>Not unconditional workforce absorption</x:v>
      </x:c>
    </x:row>
    <x:row r="5" ht="22" customHeight="1">
      <x:c r="A5" t="str">
        <x:v>Exposure to realization</x:v>
      </x:c>
      <x:c r="B5" t="str">
        <x:v>6,000 × 70% × 85% = 3,570 WE</x:v>
      </x:c>
      <x:c r="C5" t="str">
        <x:v>85% synthetic</x:v>
      </x:c>
      <x:c r="D5" t="str">
        <x:v>Exposure ≠ displaced persons</x:v>
      </x:c>
    </x:row>
    <x:row r="6" ht="22" customHeight="1">
      <x:c r="A6" t="str">
        <x:v>Received work</x:v>
      </x:c>
      <x:c r="B6" t="str">
        <x:v>660 nonvendor + 240 vendor WE</x:v>
      </x:c>
      <x:c r="C6" t="str">
        <x:v>Synthetic, unvalidated</x:v>
      </x:c>
      <x:c r="D6" t="str">
        <x:v>No actual backed demand established</x:v>
      </x:c>
    </x:row>
    <x:row r="7" ht="22" customHeight="1">
      <x:c r="A7" t="str">
        <x:v>Year 1 cost of waiting</x:v>
      </x:c>
      <x:c r="B7" t="str">
        <x:v>1,404 extra WE-months</x:v>
      </x:c>
      <x:c r="C7" t="str">
        <x:v>12-month delayed matching comparator</x:v>
      </x:c>
      <x:c r="D7" t="str">
        <x:v>Not automatic cash loss</x:v>
      </x:c>
    </x:row>
    <x:row r="8" ht="22" customHeight="1">
      <x:c r="A8" t="str">
        <x:v>Cash model</x:v>
      </x:c>
      <x:c r="B8" t="str">
        <x:v>Vendor only, scenario price Rp6m</x:v>
      </x:c>
      <x:c r="C8" t="str">
        <x:v>Contractor spending absent brief</x:v>
      </x:c>
      <x:c r="D8" t="str">
        <x:v>Nonvendor productive output is noncash</x:v>
      </x:c>
    </x:row>
    <x:row r="9" ht="22" customHeight="1">
      <x:c r="A9" t="str">
        <x:v>36M full-vendor ROI</x:v>
      </x:c>
      <x:c r="B9" t="str">
        <x:v>Conditional upside, not base forecast</x:v>
      </x:c>
      <x:c r="C9" t="str">
        <x:v>100% assumed spend capture</x:v>
      </x:c>
      <x:c r="D9" t="str">
        <x:v>Show break-even and downside alongside</x:v>
      </x:c>
    </x:row>
    <x:row r="10" ht="22" customHeight="1">
      <x:c r="A10" t="str">
        <x:v>Prohibited counterfactual</x:v>
      </x:c>
      <x:c r="B10" t="str">
        <x:v>PHK then rehire</x:v>
      </x:c>
      <x:c r="C10" t="str">
        <x:v>Brief disallows mass layoffs; Oracle off limits</x:v>
      </x:c>
      <x:c r="D10" t="str">
        <x:v>Formula-only until Legal/Finance inputs</x:v>
      </x:c>
    </x:row>
    <x:row r="11" ht="22" customHeight="1">
      <x:c r="A11" t="str">
        <x:v>Programme cost scope</x:v>
      </x:c>
      <x:c r="B11" t="str">
        <x:v>Rp3.5B brief + synthetic add-ons</x:v>
      </x:c>
      <x:c r="C11" t="str">
        <x:v>Framework adoption estimate may overlap</x:v>
      </x:c>
      <x:c r="D11" t="str">
        <x:v>Finance deduplication required</x:v>
      </x:c>
    </x:row>
    <x:row r="12" ht="22" customHeight="1">
      <x:c r="A12" t="str">
        <x:v>Source series</x:v>
      </x:c>
      <x:c r="B12" t="str">
        <x:v>M0–M36 from one consistent workforce workbook</x:v>
      </x:c>
      <x:c r="C12" t="str">
        <x:v>Synthetic simulation output</x:v>
      </x:c>
      <x:c r="D12" t="str">
        <x:v>No mixed-period model splice</x:v>
      </x:c>
    </x:row>
    <x:row r="13" ht="22" customHeight="1">
      <x:c r="A13" t="str">
        <x:v>Submission rule</x:v>
      </x:c>
      <x:c r="B13" t="str">
        <x:v>Do not publish this workbook</x:v>
      </x:c>
      <x:c r="C13" t="str">
        <x:v>Board gets curated working and assumptions</x:v>
      </x:c>
      <x:c r="D13" t="str">
        <x:v>HTML must reconcile to this baseline</x:v>
      </x:c>
    </x:row>
    <x:row r="14" ht="22" customHeight="1">
      <x:c r="A14" t="str">
        <x:v>AUDIT NOTE</x:v>
      </x:c>
      <x:c r="B14" t="str">
        <x:v>NOT A VALIDATED TOTAL COST</x:v>
      </x:c>
      <x:c r="C14" t="str">
        <x:v>Finance and Procurement reconcile scope before approval</x:v>
      </x:c>
      <x:c r="D14" t="str">
        <x:v>Rp6B cash model vs Rp3.7875B resource estimate: not mechanically additive</x:v>
      </x:c>
    </x:row>
    <x:row r="15" ht="22" customHeight="1">
      <x:c r="A15" t="str">
        <x:v>Counterfactual model</x:v>
      </x:c>
      <x:c r="B15" t="str">
        <x:v>PARAMETRIC ONLY</x:v>
      </x:c>
      <x:c r="C15" t="str">
        <x:v>No payroll / actual separations inferred</x:v>
      </x:c>
      <x:c r="D15" t="str">
        <x:v>Separation-count input is not equal to displaced WE</x:v>
      </x:c>
    </x:row>
    <x:row r="16" ht="22" customHeight="1">
      <x:c r="A16" t="str">
        <x:v>Decision gate</x:v>
      </x:c>
      <x:c r="B16" t="str">
        <x:v>DAY 30 IS NEW FINDING</x:v>
      </x:c>
      <x:c r="C16" t="str">
        <x:v>Day 60 valid-role checkpoint</x:v>
      </x:c>
      <x:c r="D16" t="str">
        <x:v>No backed demand != no demand exists</x:v>
      </x:c>
    </x:row>
    <x:row r="17" ht="22" customHeight="1">
      <x:c r="A17" t="str">
        <x:v>New internal working tabs</x:v>
      </x:c>
      <x:c r="B17" t="str">
        <x:v>INVESTMENT / ADOPTION / COUNTERFACTUAL / GATES / IDENTITY</x:v>
      </x:c>
      <x:c r="C17" t="str">
        <x:v>Use for deck and scenario explanations</x:v>
      </x:c>
      <x:c r="D17" t="str">
        <x:v>Do not publish employee examples or internal spreadsheet</x:v>
      </x:c>
    </x:row>
    <x:row r="18" ht="22" customHeight="1">
      <x:c r="A18" t="str">
        <x:v>Known excluded costs</x:v>
      </x:c>
      <x:c r="B18" t="str">
        <x:v>TRAINING / LICENCES / TRAVEL / MOBILITY</x:v>
      </x:c>
      <x:c r="C18" t="str">
        <x:v>No verified cash lines</x:v>
      </x:c>
      <x:c r="D18" t="str">
        <x:v>Model is not audited TCO</x:v>
      </x:c>
    </x:row>
    <x:row r="19" ht="22" customHeight="1">
      <x:c r="A19" t="str">
        <x:v>WORKBOOK CONTROLS</x:v>
      </x:c>
      <x:c r="B19" t="str">
        <x:v>MODEL CONTROLS</x:v>
      </x:c>
      <x:c r="C19" t="str">
        <x:v>Dashboard and health-check flags</x:v>
      </x:c>
      <x:c r="D19" t="str">
        <x:v>Tests driver changes and baseline regression</x:v>
      </x:c>
    </x:row>
    <x:row r="20" ht="22" customHeight="1">
      <x:c r="A20" t="str">
        <x:v>SCENARIO CURVES</x:v>
      </x:c>
      <x:c r="B20" t="str">
        <x:v>RAMP DRIVERS</x:v>
      </x:c>
      <x:c r="C20" t="str">
        <x:v>Monthly normalized synthetic timing; fixed shape</x:v>
      </x:c>
      <x:c r="D20" t="str">
        <x:v>36M Workforce now recalculates from Assumptions</x:v>
      </x:c>
    </x:row>
    <x:row r="21" ht="22" customHeight="1">
      <x:c r="A21" t="str">
        <x:v>PROVENANCE</x:v>
      </x:c>
      <x:c r="B21" t="str">
        <x:v>EVIDENCE REGISTER</x:v>
      </x:c>
      <x:c r="C21" t="str">
        <x:v>Each important input has owner, test and state</x:v>
      </x:c>
      <x:c r="D21" t="str">
        <x:v>BRIEF vs SYNTHETIC vs UNPRICED</x:v>
      </x:c>
    </x:row>
    <x:row r="22" ht="22" customHeight="1">
      <x:c r="A22" t="str">
        <x:v>COST TRACE</x:v>
      </x:c>
      <x:c r="B22" t="str">
        <x:v>COST OWNERSHIP</x:v>
      </x:c>
      <x:c r="C22" t="str">
        <x:v>Cash envelope vs resource effort vs unpriced components</x:v>
      </x:c>
      <x:c r="D22" t="str">
        <x:v>Never auto-add Rp3.7875B to Rp6B</x:v>
      </x:c>
    </x:row>
    <x:row r="23" ht="22" customHeight="1">
      <x:c r="A23" t="str">
        <x:v>VERSION RULE</x:v>
      </x:c>
      <x:c r="B23" t="str">
        <x:v>SINGLE SOURCE</x:v>
      </x:c>
      <x:c r="C23" t="str">
        <x:v>Keep this as current internal model; archive predecessors</x:v>
      </x:c>
      <x:c r="D23" t="str">
        <x:v>Do not publish as Client actual data</x:v>
      </x:c>
    </x:row>
    <x:row r="24" ht="22" customHeight="1"/>
    <x:row r="25" ht="22" customHeight="1">
      <x:c r="A25" t="str">
        <x:v>MODEL DEFINITIONS</x:v>
      </x:c>
      <x:c r="B25" t="str">
        <x:v>WE = work-equivalent capacity</x:v>
      </x:c>
      <x:c r="C25" t="str">
        <x:v>Not headcount and not layoff count</x:v>
      </x:c>
      <x:c r="D25" t="str">
        <x:v>Potential exposure != actual displaced work</x:v>
      </x:c>
    </x:row>
    <x:row r="26" ht="22" customHeight="1">
      <x:c r="A26" t="str">
        <x:v>MODEL DEFINITIONS</x:v>
      </x:c>
      <x:c r="B26" t="str">
        <x:v>Matched WE = possible receiving work * readiness</x:v>
      </x:c>
      <x:c r="C26" t="str">
        <x:v>Not confirmed persons moved</x:v>
      </x:c>
      <x:c r="D26" t="str">
        <x:v>Demand may be wholly unbacked</x:v>
      </x:c>
    </x:row>
    <x:row r="27" ht="22" customHeight="1">
      <x:c r="A27" t="str">
        <x:v>MODEL DEFINITIONS</x:v>
      </x:c>
      <x:c r="B27" t="str">
        <x:v>FTE-month = capacity integrated through time</x:v>
      </x:c>
      <x:c r="C27" t="str">
        <x:v>Not a unique employee</x:v>
      </x:c>
      <x:c r="D27" t="str">
        <x:v>Vendor opportunity only if spend avoided</x:v>
      </x:c>
    </x:row>
    <x:row r="28" ht="22" customHeight="1">
      <x:c r="A28" t="str">
        <x:v>FINANCIAL CLASS</x:v>
      </x:c>
      <x:c r="B28" t="str">
        <x:v>Cash = invoices/payments truly avoidable</x:v>
      </x:c>
      <x:c r="C28" t="str">
        <x:v>Vendor price and volume conditional</x:v>
      </x:c>
      <x:c r="D28" t="str">
        <x:v>No salary wage proxy inserted</x:v>
      </x:c>
    </x:row>
    <x:row r="29" ht="22" customHeight="1">
      <x:c r="A29" t="str">
        <x:v>FINANCIAL CLASS</x:v>
      </x:c>
      <x:c r="B29" t="str">
        <x:v>Noncash = additional operational value</x:v>
      </x:c>
      <x:c r="C29" t="str">
        <x:v>Needs incremental output evidence</x:v>
      </x:c>
      <x:c r="D29" t="str">
        <x:v>Never combined automatically with ROI</x:v>
      </x:c>
    </x:row>
    <x:row r="30" ht="22" customHeight="1">
      <x:c r="A30" t="str">
        <x:v>FINANCIAL CLASS</x:v>
      </x:c>
      <x:c r="B30" t="str">
        <x:v>Resource effort = person-time valuation</x:v>
      </x:c>
      <x:c r="C30" t="str">
        <x:v>May be existing fee, internal in-kind, additional cash</x:v>
      </x:c>
      <x:c r="D30" t="str">
        <x:v>Finance must deduplicate</x:v>
      </x:c>
    </x:row>
    <x:row r="31" ht="22" customHeight="1">
      <x:c r="A31" t="str">
        <x:v>REGRESSION</x:v>
      </x:c>
      <x:c r="B31" t="str">
        <x:v>Baseline Reference = frozen original synthetic outputs</x:v>
      </x:c>
      <x:c r="C31" t="str">
        <x:v>Use as reference only when inputs unchanged</x:v>
      </x:c>
      <x:c r="D31" t="str">
        <x:v>Scenario change ≠ model error</x:v>
      </x:c>
    </x:row>
    <x:row r="32" ht="22" customHeight="1">
      <x:c r="A32" t="str">
        <x:v>CHANGELOG 2026-10-30</x:v>
      </x:c>
      <x:c r="B32" t="str">
        <x:v>Linked monthly engine + unified assumptions</x:v>
      </x:c>
      <x:c r="C32" t="str">
        <x:v>Cost ledger + evidence + controls + stress tests</x:v>
      </x:c>
      <x:c r="D32" t="str">
        <x:v>Previous masters superseded for internal modelling</x:v>
      </x:c>
    </x:row>
    <x:row r="33" ht="22" customHeight="1"/>
    <x:row r="34" ht="22" customHeight="1">
      <x:c r="A34" t="str">
        <x:v>EVIDENCE LINKS</x:v>
      </x:c>
      <x:c r="B34" t="str">
        <x:v>Assumptions!E2:E31 ↔ Evidence Register IDs</x:v>
      </x:c>
      <x:c r="C34" t="str">
        <x:v>Named validation owners, not implied approvals</x:v>
      </x:c>
      <x:c r="D34" t="str">
        <x:v>Every material assumption classified</x:v>
      </x:c>
    </x:row>
    <x:row r="35" ht="22" customHeight="1">
      <x:c r="A35" t="str">
        <x:v>BASELINE TEST</x:v>
      </x:c>
      <x:c r="B35" t="str">
        <x:v>37 monthly reference rows + 26 formula controls</x:v>
      </x:c>
      <x:c r="C35" t="str">
        <x:v>Tested readiness 65→85%, realization 85→75%, vendor capture 100→50%</x:v>
      </x:c>
      <x:c r="D35" t="str">
        <x:v>All inputs restored after testing</x:v>
      </x:c>
    </x:row>
    <x:row r="36" ht="22" customHeight="1"/>
    <x:row r="37" ht="22" customHeight="1"/>
    <x:row r="38" ht="22" customHeight="1"/>
    <x:row r="39" ht="2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19" hidden="0" customWidth="1"/>
    <x:col min="3" max="3" width="25" hidden="0" customWidth="1"/>
    <x:col min="4" max="4" width="92" hidden="0" customWidth="1"/>
    <x:col min="5" max="5" width="35" hidden="0" customWidth="1"/>
  </x:cols>
  <x:sheetData>
    <x:row r="1" ht="29" customHeight="1">
      <x:c r="A1" s="66" t="str">
        <x:v>ASSUMPTIONS &amp; EVIDENCE REGISTER</x:v>
      </x:c>
      <x:c r="B1" s="66" t="str">
        <x:v>VALUE</x:v>
      </x:c>
      <x:c r="C1" s="66" t="str">
        <x:v>CLASS</x:v>
      </x:c>
      <x:c r="D1" s="66" t="str">
        <x:v>WHY / QUALIFICATION</x:v>
      </x:c>
      <x:c r="E1" s="66" t="str">
        <x:v>EVIDENCE ID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6" customHeight="1">
      <x:c r="A2" t="str">
        <x:v>Field Metering workforce</x:v>
      </x:c>
      <x:c r="B2" s="86" t="n">
        <x:v>6000</x:v>
      </x:c>
      <x:c r="C2" t="str">
        <x:v>BRIEF</x:v>
      </x:c>
      <x:c r="D2" t="str">
        <x:v>Headcount size used as FTE-equivalent modelling baseline</x:v>
      </x:c>
      <x:c r="E2" t="str">
        <x:v>E02</x:v>
      </x:c>
    </x:row>
    <x:row r="3" ht="22" customHeight="1">
      <x:c r="A3" t="str">
        <x:v>Potential automatable share</x:v>
      </x:c>
      <x:c r="B3" s="87" t="n">
        <x:v>0.7</x:v>
      </x:c>
      <x:c r="C3" t="str">
        <x:v>BRIEF</x:v>
      </x:c>
      <x:c r="D3" t="str">
        <x:v>~70% work exposure, NOT assured realization</x:v>
      </x:c>
      <x:c r="E3" t="str">
        <x:v>E03</x:v>
      </x:c>
    </x:row>
    <x:row r="4" ht="22" customHeight="1">
      <x:c r="A4" t="str">
        <x:v>Realization ceiling</x:v>
      </x:c>
      <x:c r="B4" s="99" t="n">
        <x:v>0.85</x:v>
      </x:c>
      <x:c r="C4" t="str">
        <x:v>SYNTHETIC</x:v>
      </x:c>
      <x:c r="D4" t="str">
        <x:v>85% of exposed work assumed realized -&gt; 3,570 WE</x:v>
      </x:c>
      <x:c r="E4" t="str">
        <x:v>E04</x:v>
      </x:c>
    </x:row>
    <x:row r="5" ht="22" customHeight="1">
      <x:c r="A5" t="str">
        <x:v>Relevant attrition annual</x:v>
      </x:c>
      <x:c r="B5" s="99" t="n">
        <x:v>0.025</x:v>
      </x:c>
      <x:c r="C5" t="str">
        <x:v>SYNTHETIC</x:v>
      </x:c>
      <x:c r="D5" t="str">
        <x:v>No backfill; not placement</x:v>
      </x:c>
      <x:c r="E5" t="str">
        <x:v>E05</x:v>
      </x:c>
    </x:row>
    <x:row r="6" ht="22" customHeight="1">
      <x:c r="A6" t="str">
        <x:v>Matching readiness ceiling</x:v>
      </x:c>
      <x:c r="B6" s="99" t="n">
        <x:v>0.65</x:v>
      </x:c>
      <x:c r="C6" t="str">
        <x:v>SYNTHETIC</x:v>
      </x:c>
      <x:c r="D6" t="str">
        <x:v>Fraction of proposed receiving work matchable by horizon</x:v>
      </x:c>
      <x:c r="E6" t="str">
        <x:v>E06</x:v>
      </x:c>
    </x:row>
    <x:row r="7" ht="22" customHeight="1">
      <x:c r="A7" t="str">
        <x:v>Nonvendor demand ceiling</x:v>
      </x:c>
      <x:c r="B7" s="100" t="n">
        <x:v>660</x:v>
      </x:c>
      <x:c r="C7" t="str">
        <x:v>SYNTHETIC</x:v>
      </x:c>
      <x:c r="D7" t="str">
        <x:v>Candidate capacity; zero validated in brief</x:v>
      </x:c>
      <x:c r="E7" t="str">
        <x:v>E07</x:v>
      </x:c>
    </x:row>
    <x:row r="8" ht="22" customHeight="1">
      <x:c r="A8" s="38" t="str">
        <x:v>Vendor substitution ceiling</x:v>
      </x:c>
      <x:c r="B8" s="100" t="n">
        <x:v>240</x:v>
      </x:c>
      <x:c r="C8" s="38" t="str">
        <x:v>UNVERIFIED OPTION</x:v>
      </x:c>
      <x:c r="D8" s="38" t="str">
        <x:v>Contractor demand and spend NOT in brief</x:v>
      </x:c>
      <x:c r="E8" t="str">
        <x:v>E08</x:v>
      </x:c>
    </x:row>
    <x:row r="9" ht="22" customHeight="1">
      <x:c r="A9" t="str">
        <x:v>Rakamin engagement fee (Rp m)</x:v>
      </x:c>
      <x:c r="B9" s="86" t="n">
        <x:v>3500</x:v>
      </x:c>
      <x:c r="C9" t="str">
        <x:v>BRIEF</x:v>
      </x:c>
      <x:c r="D9" t="str">
        <x:v>12-month consulting engagement</x:v>
      </x:c>
      <x:c r="E9" t="str">
        <x:v>E09</x:v>
      </x:c>
    </x:row>
    <x:row r="10" ht="22" customHeight="1">
      <x:c r="A10" t="str">
        <x:v>Implementation year 1 (Rp m)</x:v>
      </x:c>
      <x:c r="B10" s="86" t="n">
        <x:v>1500</x:v>
      </x:c>
      <x:c r="C10" t="str">
        <x:v>SYNTHETIC</x:v>
      </x:c>
      <x:c r="D10" t="str">
        <x:v>Must avoid double-counting capability architecture resource cost</x:v>
      </x:c>
      <x:c r="E10" t="str">
        <x:v>E10</x:v>
      </x:c>
    </x:row>
    <x:row r="11" ht="22" customHeight="1">
      <x:c r="A11" t="str">
        <x:v>Support year 2 (Rp m)</x:v>
      </x:c>
      <x:c r="B11" s="86" t="n">
        <x:v>500</x:v>
      </x:c>
      <x:c r="C11" t="str">
        <x:v>SYNTHETIC</x:v>
      </x:c>
      <x:c r="D11" t="str">
        <x:v>Assumption, not Client budget</x:v>
      </x:c>
      <x:c r="E11" t="str">
        <x:v>E11</x:v>
      </x:c>
    </x:row>
    <x:row r="12" ht="22" customHeight="1">
      <x:c r="A12" t="str">
        <x:v>Support year 3 (Rp m)</x:v>
      </x:c>
      <x:c r="B12" s="86" t="n">
        <x:v>500</x:v>
      </x:c>
      <x:c r="C12" t="str">
        <x:v>SYNTHETIC</x:v>
      </x:c>
      <x:c r="D12" t="str">
        <x:v>Assumption, not Client budget</x:v>
      </x:c>
      <x:c r="E12" t="str">
        <x:v>E11</x:v>
      </x:c>
    </x:row>
    <x:row r="13" ht="22" customHeight="1">
      <x:c r="A13" t="str">
        <x:v>Avoidable vendor unit benefit (Rp m/FTE-mo)</x:v>
      </x:c>
      <x:c r="B13" s="100" t="n">
        <x:v>6</x:v>
      </x:c>
      <x:c r="C13" t="str">
        <x:v>SENSITIVITY ONLY</x:v>
      </x:c>
      <x:c r="D13" t="str">
        <x:v>Requires signed cancellable vendor cost or other qualified avoidable spend</x:v>
      </x:c>
      <x:c r="E13" t="str">
        <x:v>E12</x:v>
      </x:c>
    </x:row>
    <x:row r="14" ht="22" customHeight="1">
      <x:c r="A14" t="str">
        <x:v>Nonvendor productive value low (Rp m/FTE-mo)</x:v>
      </x:c>
      <x:c r="B14" s="100" t="n">
        <x:v>0</x:v>
      </x:c>
      <x:c r="C14" t="str">
        <x:v>SENSITIVITY ONLY</x:v>
      </x:c>
      <x:c r="D14" t="str">
        <x:v>Noncash output value, not salary</x:v>
      </x:c>
      <x:c r="E14" t="str">
        <x:v>E13</x:v>
      </x:c>
    </x:row>
    <x:row r="15" ht="22" customHeight="1">
      <x:c r="A15" t="str">
        <x:v>Nonvendor productive value mid (Rp m/FTE-mo)</x:v>
      </x:c>
      <x:c r="B15" s="100" t="n">
        <x:v>2</x:v>
      </x:c>
      <x:c r="C15" t="str">
        <x:v>SENSITIVITY ONLY</x:v>
      </x:c>
      <x:c r="D15" t="str">
        <x:v>Requires verified incremental outputs</x:v>
      </x:c>
      <x:c r="E15" t="str">
        <x:v>E13</x:v>
      </x:c>
    </x:row>
    <x:row r="16" ht="22" customHeight="1">
      <x:c r="A16" t="str">
        <x:v>Nonvendor productive value high (Rp m/FTE-mo)</x:v>
      </x:c>
      <x:c r="B16" s="100" t="n">
        <x:v>4</x:v>
      </x:c>
      <x:c r="C16" t="str">
        <x:v>SENSITIVITY ONLY</x:v>
      </x:c>
      <x:c r="D16" t="str">
        <x:v>Not included in cash ROI</x:v>
      </x:c>
      <x:c r="E16" t="str">
        <x:v>E13</x:v>
      </x:c>
    </x:row>
    <x:row r="17" ht="22" customHeight="1">
      <x:c r="A17" t="str">
        <x:v>Discount rate annual</x:v>
      </x:c>
      <x:c r="B17" s="99" t="n">
        <x:v>0.1</x:v>
      </x:c>
      <x:c r="C17" t="str">
        <x:v>SYNTHETIC</x:v>
      </x:c>
      <x:c r="D17" t="str">
        <x:v>Monthly PV factor uses (1+r)^(-m/12)</x:v>
      </x:c>
      <x:c r="E17" t="str">
        <x:v>E14</x:v>
      </x:c>
    </x:row>
    <x:row r="18" ht="22" customHeight="1">
      <x:c r="A18" t="str">
        <x:v>Counterfactual delay of workforce transition (months)</x:v>
      </x:c>
      <x:c r="B18" s="100" t="n">
        <x:v>12</x:v>
      </x:c>
      <x:c r="C18" t="str">
        <x:v>SYNTHETIC</x:v>
      </x:c>
      <x:c r="D18" t="str">
        <x:v>Technology deploys on same schedule in both modes</x:v>
      </x:c>
      <x:c r="E18" t="str">
        <x:v>E15</x:v>
      </x:c>
    </x:row>
    <x:row r="19" ht="22" customHeight="1">
      <x:c r="A19" s="38" t="str">
        <x:v>Alternative cash: avoided external recruitment (Rp m)</x:v>
      </x:c>
      <x:c r="B19" s="88" t="n">
        <x:v>0</x:v>
      </x:c>
      <x:c r="C19" s="38" t="str">
        <x:v>NOT MODELLED</x:v>
      </x:c>
      <x:c r="D19" s="38" t="str">
        <x:v>INPUT PLACEHOLDER; no recruiting savings quantified (not evidence of 0 actual)</x:v>
      </x:c>
      <x:c r="E19" t="str">
        <x:v>E26</x:v>
      </x:c>
    </x:row>
    <x:row r="20" ht="22" customHeight="1">
      <x:c r="A20" s="38" t="str">
        <x:v>Alternative cash: avoided overtime (Rp m)</x:v>
      </x:c>
      <x:c r="B20" s="88" t="n">
        <x:v>0</x:v>
      </x:c>
      <x:c r="C20" s="38" t="str">
        <x:v>NOT MODELLED</x:v>
      </x:c>
      <x:c r="D20" s="38" t="str">
        <x:v>INPUT PLACEHOLDER; no overtime savings quantified (not evidence of 0 actual)</x:v>
      </x:c>
      <x:c r="E20" t="str">
        <x:v>E26</x:v>
      </x:c>
    </x:row>
    <x:row r="21" ht="22" customHeight="1">
      <x:c r="A21" s="38" t="str">
        <x:v>Gate opportunity cost (Rp m)</x:v>
      </x:c>
      <x:c r="B21" s="88" t="n">
        <x:v>600</x:v>
      </x:c>
      <x:c r="C21" s="38" t="str">
        <x:v>SYNTHETIC NONCASH</x:v>
      </x:c>
      <x:c r="D21" s="38" t="str">
        <x:v>Not a demonstrated cash cost; excluded from cash ROI</x:v>
      </x:c>
      <x:c r="E21" t="str">
        <x:v>E27</x:v>
      </x:c>
    </x:row>
    <x:row r="22" ht="22" customHeight="1">
      <x:c r="A22" s="38" t="str">
        <x:v>Standalone hybrid capability adoption estimate (Rp m)</x:v>
      </x:c>
      <x:c r="B22" s="90" t="n">
        <x:f>'Adoption Workings'!I13</x:f>
        <x:v>3787.5</x:v>
      </x:c>
      <x:c r="C22" s="38" t="str">
        <x:v>SEPARATE WORKING ESTIMATE</x:v>
      </x:c>
      <x:c r="D22" s="38" t="str">
        <x:v>May overlap fee or implementation; not add until procurement-level reconciled</x:v>
      </x:c>
      <x:c r="E22" t="str">
        <x:v>E18 / E19 / E20 / E21</x:v>
      </x:c>
    </x:row>
    <x:row r="23" ht="22" customHeight="1">
      <x:c r="A23" t="str">
        <x:v>Layoff comparator: separations (PEOPLE)</x:v>
      </x:c>
      <x:c r="B23" s="100" t="n">
        <x:v>500</x:v>
      </x:c>
      <x:c r="C23" t="str">
        <x:v>FICTIONAL STRESS INPUT</x:v>
      </x:c>
      <x:c r="D23" t="str">
        <x:v>No implied separations from WE; NOT Client data</x:v>
      </x:c>
      <x:c r="E23" t="str">
        <x:v>E22</x:v>
      </x:c>
    </x:row>
    <x:row r="24" ht="22" customHeight="1">
      <x:c r="A24" t="str">
        <x:v>Layoff comparator: lawful exit cost/person (Rp m)</x:v>
      </x:c>
      <x:c r="B24" s="100" t="n">
        <x:v>20</x:v>
      </x:c>
      <x:c r="C24" t="str">
        <x:v>FICTIONAL STRESS INPUT</x:v>
      </x:c>
      <x:c r="D24" t="str">
        <x:v>Not a legal formula; no Oracle access</x:v>
      </x:c>
      <x:c r="E24" t="str">
        <x:v>E22</x:v>
      </x:c>
    </x:row>
    <x:row r="25" ht="22" customHeight="1">
      <x:c r="A25" t="str">
        <x:v>Layoff comparator: rehires (PEOPLE)</x:v>
      </x:c>
      <x:c r="B25" s="100" t="n">
        <x:v>200</x:v>
      </x:c>
      <x:c r="C25" t="str">
        <x:v>FICTIONAL STRESS INPUT</x:v>
      </x:c>
      <x:c r="D25" t="str">
        <x:v>Independent invented count, not role demand</x:v>
      </x:c>
      <x:c r="E25" t="str">
        <x:v>E22</x:v>
      </x:c>
    </x:row>
    <x:row r="26" ht="22" customHeight="1">
      <x:c r="A26" t="str">
        <x:v>Layoff comparator: hire / onboarding cost/person (Rp m)</x:v>
      </x:c>
      <x:c r="B26" s="100" t="n">
        <x:v>10</x:v>
      </x:c>
      <x:c r="C26" t="str">
        <x:v>FICTIONAL STRESS INPUT</x:v>
      </x:c>
      <x:c r="D26" t="str">
        <x:v>Finance / HR acquisition cost unknown</x:v>
      </x:c>
      <x:c r="E26" t="str">
        <x:v>E22</x:v>
      </x:c>
    </x:row>
    <x:row r="27" ht="22" customHeight="1">
      <x:c r="A27" t="str">
        <x:v>Layoff comparator: disruption cash (Rp m)</x:v>
      </x:c>
      <x:c r="B27" s="100" t="n">
        <x:v>0</x:v>
      </x:c>
      <x:c r="C27" t="str">
        <x:v>UNMODELLED PLACEHOLDER</x:v>
      </x:c>
      <x:c r="D27" t="str">
        <x:v>Zero means not quantified, NOT no disruption</x:v>
      </x:c>
      <x:c r="E27" t="str">
        <x:v>E22</x:v>
      </x:c>
    </x:row>
    <x:row r="28" ht="22" customHeight="1">
      <x:c r="A28" t="str">
        <x:v>Gate delay for technology displacement (months)</x:v>
      </x:c>
      <x:c r="B28" s="101" t="n">
        <x:v>3</x:v>
      </x:c>
      <x:c r="C28" t="str">
        <x:v>SYNTHETIC</x:v>
      </x:c>
      <x:c r="D28" t="str">
        <x:v>Timing of gate only; unchanged 36-month terminal exposure</x:v>
      </x:c>
      <x:c r="E28" t="str">
        <x:v>E16</x:v>
      </x:c>
    </x:row>
    <x:row r="29" ht="22" customHeight="1">
      <x:c r="A29" t="str">
        <x:v>Future value test vendor capture rate</x:v>
      </x:c>
      <x:c r="B29" s="99" t="n">
        <x:v>1</x:v>
      </x:c>
      <x:c r="C29" t="str">
        <x:v>SYNTHETIC SENSITIVITY</x:v>
      </x:c>
      <x:c r="D29" t="str">
        <x:v>Full capture (100%) is upside case, not Client validated</x:v>
      </x:c>
      <x:c r="E29" t="str">
        <x:v>E28</x:v>
      </x:c>
    </x:row>
    <x:row r="30" ht="22" customHeight="1">
      <x:c r="A30" t="str">
        <x:v>Modelled horizon (months)</x:v>
      </x:c>
      <x:c r="B30" s="89" t="n">
        <x:v>36</x:v>
      </x:c>
      <x:c r="C30" t="str">
        <x:v>MODEL STRUCTURE</x:v>
      </x:c>
      <x:c r="D30" t="str">
        <x:v>Workbook support is fixed M0–M36; do not change without rebuilding horizon</x:v>
      </x:c>
      <x:c r="E30" t="str">
        <x:v>MODEL STRUCTURE</x:v>
      </x:c>
    </x:row>
    <x:row r="31" ht="22" customHeight="1">
      <x:c r="A31" t="str">
        <x:v>Enterprise workforce all regions + HQ</x:v>
      </x:c>
      <x:c r="B31" s="89" t="n">
        <x:v>52000</x:v>
      </x:c>
      <x:c r="C31" t="str">
        <x:v>BRIEF</x:v>
      </x:c>
      <x:c r="D31" t="str">
        <x:v>Company size in assignment; title exposure allocation synthetic</x:v>
      </x:c>
      <x:c r="E31" t="str">
        <x:v>E01</x:v>
      </x:c>
    </x:row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0" customHeight="1">
      <x:c r="A1" s="4" t="str">
        <x:v>MONTH</x:v>
      </x:c>
      <x:c r="B1" s="4" t="str">
        <x:v>DISPLACED (NO GATE)</x:v>
      </x:c>
      <x:c r="C1" s="4" t="str">
        <x:v>DISPLACED (GATE)</x:v>
      </x:c>
      <x:c r="D1" s="4" t="str">
        <x:v>ATTRITION OFFSET</x:v>
      </x:c>
      <x:c r="E1" s="4" t="str">
        <x:v>MATCH NONVENDOR</x:v>
      </x:c>
      <x:c r="F1" s="4" t="str">
        <x:v>MATCH VENDOR</x:v>
      </x:c>
      <x:c r="G1" s="4" t="str">
        <x:v>GAP NOW + VENDOR</x:v>
      </x:c>
      <x:c r="H1" s="4" t="str">
        <x:v>GAP GATED + VENDOR</x:v>
      </x:c>
      <x:c r="I1" s="4" t="str">
        <x:v>GAP NOW ZERO VENDOR</x:v>
      </x:c>
      <x:c r="J1" s="4" t="str">
        <x:v>GAP GATED ZERO VENDOR</x:v>
      </x:c>
      <x:c r="K1" s="4" t="str">
        <x:v>SOURCE GAP CHECK</x:v>
      </x:c>
      <x:c r="L1" s="4" t="str">
        <x:v>RECONCILIATION ERROR</x:v>
      </x:c>
      <x:c r="M1" s="4" t="str">
        <x:v>WAIT MATCH NONVENDOR</x:v>
      </x:c>
      <x:c r="N1" s="4" t="str">
        <x:v>WAIT MATCH VENDOR</x:v>
      </x:c>
      <x:c r="O1" s="4" t="str">
        <x:v>WAIT GAP</x:v>
      </x:c>
      <x:c r="P1" s="4" t="str">
        <x:v>EXTRA GAP IF WAIT</x:v>
      </x:c>
      <x:c r="Q1" s="4" t="str">
        <x:v>NONVENDOR DELAYED</x:v>
      </x:c>
      <x:c r="R1" s="4" t="str">
        <x:v>VENDOR DELAYED</x:v>
      </x:c>
      <x:c r="S1" s="4" t="str">
        <x:v>GROSS VENDOR CASH (Rp m)</x:v>
      </x:c>
      <x:c r="T1" s="4" t="str">
        <x:v>INCREMENTAL VENDOR CASH (Rp m)</x:v>
      </x:c>
      <x:c r="U1" s="4" t="str">
        <x:v>DISCOUNT FACTOR</x:v>
      </x:c>
      <x:c r="V1" s="4" t="str">
        <x:v>PV GROSS VENDOR CASH</x:v>
      </x:c>
      <x:c r="W1" s="4" t="str">
        <x:v>COST MONTHLY (Rp m)</x:v>
      </x:c>
      <x:c r="X1" s="4" t="str">
        <x:v>PV COST</x:v>
      </x:c>
      <x:c r="Y1" s="4"/>
      <x:c r="Z1" s="4"/>
    </x:row>
    <x:row r="2">
      <x:c r="A2" t="str">
        <x:v>MODELLED SERIES: ONE 36-MONTH WORKFORCE SCENARIO SOURCE; ALL VALUES SYNTHETIC. Source = established 36-month internal workforce engine.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  <x:row r="3">
      <x:c r="A3" t="str">
        <x:v>Nongate + vendor is reference scenario; gating changes displacement timing only. Cash vendor assumes substantiated avoidability; no such Client evidence yet.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</x:row>
    <x:row r="4" ht="29" customHeight="1">
      <x:c r="A4" s="68" t="str">
        <x:v>MONTH</x:v>
      </x:c>
      <x:c r="B4" s="68" t="str">
        <x:v>DISPLACED NG</x:v>
      </x:c>
      <x:c r="C4" s="68" t="str">
        <x:v>DISPLACED GATED</x:v>
      </x:c>
      <x:c r="D4" s="68" t="str">
        <x:v>ATTRITION</x:v>
      </x:c>
      <x:c r="E4" s="68" t="str">
        <x:v>NONVENDOR MATCH</x:v>
      </x:c>
      <x:c r="F4" s="68" t="str">
        <x:v>VENDOR MATCH</x:v>
      </x:c>
      <x:c r="G4" s="68" t="str">
        <x:v>GAP NG+VENDOR</x:v>
      </x:c>
      <x:c r="H4" s="68" t="str">
        <x:v>GAP G+VENDOR</x:v>
      </x:c>
      <x:c r="I4" s="68" t="str">
        <x:v>GAP NG ZERO-V</x:v>
      </x:c>
      <x:c r="J4" s="68" t="str">
        <x:v>GAP G ZERO-V</x:v>
      </x:c>
      <x:c r="K4" s="68" t="str">
        <x:v>INDEPENDENT SOURCE-CURVE CHECK</x:v>
      </x:c>
      <x:c r="L4" s="68" t="str">
        <x:v>CURVE RECON ERROR</x:v>
      </x:c>
      <x:c r="M4" s="68" t="str">
        <x:v>WAIT: NONVENDOR MATCH</x:v>
      </x:c>
      <x:c r="N4" s="68" t="str">
        <x:v>WAIT: VENDOR MATCH</x:v>
      </x:c>
      <x:c r="O4" s="68" t="str">
        <x:v>WAIT: GAP NG</x:v>
      </x:c>
      <x:c r="P4" s="68" t="str">
        <x:v>INCREMENTAL GAP (WAIT - NOW)</x:v>
      </x:c>
      <x:c r="Q4" s="68" t="str">
        <x:v>NONVENDOR INCREMENTAL</x:v>
      </x:c>
      <x:c r="R4" s="68" t="str">
        <x:v>VENDOR INCREMENTAL</x:v>
      </x:c>
      <x:c r="S4" s="68" t="str">
        <x:v>GROSS VENDOR CASH (Rp m)</x:v>
      </x:c>
      <x:c r="T4" s="68" t="str">
        <x:v>INCREMENTAL CASH VS WAIT (Rp m)</x:v>
      </x:c>
      <x:c r="U4" s="68" t="str">
        <x:v>DISCOUNT FACTOR</x:v>
      </x:c>
      <x:c r="V4" s="68" t="str">
        <x:v>PV VENDOR CASH (Rp m)</x:v>
      </x:c>
      <x:c r="W4" s="68" t="str">
        <x:v>PROGRAMME CASH COST (Rp m)</x:v>
      </x:c>
      <x:c r="X4" s="68" t="str">
        <x:v>PV COST (Rp m)</x:v>
      </x:c>
    </x:row>
    <x:row r="5" ht="20" customHeight="1">
      <x:c r="A5" t="n">
        <x:f>'Ramp Drivers'!A4</x:f>
        <x:v>0</x:v>
      </x:c>
      <x:c r="B5" s="94" t="n">
        <x:f>'Assumptions'!$B$2*'Assumptions'!$B$3*'Assumptions'!$B$4*'Ramp Drivers'!B4</x:f>
        <x:v>0</x:v>
      </x:c>
      <x:c r="C5" s="94" t="n">
        <x:f>IF(A5&lt;='Assumptions'!$B$28,0,INDEX($B$5:$B$41,A5-'Assumptions'!$B$28+1))</x:f>
        <x:v>0</x:v>
      </x:c>
      <x:c r="D5" s="94" t="n">
        <x:f>'Assumptions'!$B$2*'Assumptions'!$B$5*A5/12</x:f>
        <x:v>0</x:v>
      </x:c>
      <x:c r="E5" s="94" t="n">
        <x:f>'Assumptions'!$B$7*'Assumptions'!$B$6*'Ramp Drivers'!C4</x:f>
        <x:v>0</x:v>
      </x:c>
      <x:c r="F5" s="94" t="n">
        <x:f>'Assumptions'!$B$8*'Assumptions'!$B$6*'Ramp Drivers'!C4</x:f>
        <x:v>0</x:v>
      </x:c>
      <x:c r="G5" s="93" t="n">
        <x:f>MAX(0,B5-D5-E5-F5)</x:f>
        <x:v>0</x:v>
      </x:c>
      <x:c r="H5" s="93" t="n">
        <x:f>MAX(0,C5-D5-E5-F5)</x:f>
        <x:v>0</x:v>
      </x:c>
      <x:c r="I5" s="93" t="n">
        <x:f>MAX(0,B5-D5-E5)</x:f>
        <x:v>0</x:v>
      </x:c>
      <x:c r="J5" s="93" t="n">
        <x:f>MAX(0,C5-D5-E5)</x:f>
        <x:v>0</x:v>
      </x:c>
      <x:c r="K5" s="93" t="n">
        <x:f>MAX(0,'Ramp Drivers'!D4-D5-'Ramp Drivers'!E4)</x:f>
        <x:v>0</x:v>
      </x:c>
      <x:c r="L5" s="93" t="n">
        <x:f>G5-K5</x:f>
        <x:v>0</x:v>
      </x:c>
      <x:c r="M5" s="93" t="n">
        <x:f>IF(A5&lt;'Assumptions'!$B$18,0,INDEX($E$5:$E$41,A5-'Assumptions'!$B$18+1))</x:f>
        <x:v>0</x:v>
      </x:c>
      <x:c r="N5" s="93" t="n">
        <x:f>IF(A5&lt;'Assumptions'!$B$18,0,INDEX($F$5:$F$41,A5-'Assumptions'!$B$18+1))</x:f>
        <x:v>0</x:v>
      </x:c>
      <x:c r="O5" s="93" t="n">
        <x:f>MAX(0,B5-D5-M5-N5)</x:f>
        <x:v>0</x:v>
      </x:c>
      <x:c r="P5" s="93" t="n">
        <x:f>O5-G5</x:f>
        <x:v>0</x:v>
      </x:c>
      <x:c r="Q5" s="93" t="n">
        <x:f>E5-M5</x:f>
        <x:v>0</x:v>
      </x:c>
      <x:c r="R5" s="93" t="n">
        <x:f>F5-N5</x:f>
        <x:v>0</x:v>
      </x:c>
      <x:c r="S5" s="93" t="n">
        <x:f>F5*'Assumptions'!$B$13*'Assumptions'!$B$29</x:f>
        <x:v>0</x:v>
      </x:c>
      <x:c r="T5" s="93" t="n">
        <x:f>R5*'Assumptions'!$B$13*'Assumptions'!$B$29</x:f>
        <x:v>0</x:v>
      </x:c>
      <x:c r="U5" s="93" t="n">
        <x:f>1/(1+'Assumptions'!$B$17)^(A5/12)</x:f>
        <x:v>1</x:v>
      </x:c>
      <x:c r="V5" s="93" t="n">
        <x:f>S5*U5</x:f>
        <x:v>0</x:v>
      </x:c>
      <x:c r="W5" s="93" t="n">
        <x:f>IF(A5=0,0,IF(A5&lt;=12,('Assumptions'!$B$9+'Assumptions'!$B$10)/12,IF(A5&lt;=24,'Assumptions'!$B$11/12,'Assumptions'!$B$12/12)))</x:f>
        <x:v>0</x:v>
      </x:c>
      <x:c r="X5" s="93" t="n">
        <x:f>W5*U5</x:f>
        <x:v>0</x:v>
      </x:c>
    </x:row>
    <x:row r="6" ht="20" customHeight="1">
      <x:c r="A6" t="n">
        <x:f>'Ramp Drivers'!A5</x:f>
        <x:v>1</x:v>
      </x:c>
      <x:c r="B6" s="94" t="n">
        <x:f>'Assumptions'!$B$2*'Assumptions'!$B$3*'Assumptions'!$B$4*'Ramp Drivers'!B5</x:f>
        <x:v>16.858333333333334</x:v>
      </x:c>
      <x:c r="C6" s="94" t="n">
        <x:f>IF(A6&lt;='Assumptions'!$B$28,0,INDEX($B$5:$B$41,A6-'Assumptions'!$B$28+1))</x:f>
        <x:v>0</x:v>
      </x:c>
      <x:c r="D6" s="94" t="n">
        <x:f>'Assumptions'!$B$2*'Assumptions'!$B$5*A6/12</x:f>
        <x:v>12.5</x:v>
      </x:c>
      <x:c r="E6" s="94" t="n">
        <x:f>'Assumptions'!$B$7*'Assumptions'!$B$6*'Ramp Drivers'!C5</x:f>
        <x:v>0</x:v>
      </x:c>
      <x:c r="F6" s="94" t="n">
        <x:f>'Assumptions'!$B$8*'Assumptions'!$B$6*'Ramp Drivers'!C5</x:f>
        <x:v>0</x:v>
      </x:c>
      <x:c r="G6" s="93" t="n">
        <x:f>MAX(0,B6-D6-E6-F6)</x:f>
        <x:v>4.358333333333334</x:v>
      </x:c>
      <x:c r="H6" s="93" t="n">
        <x:f>MAX(0,C6-D6-E6-F6)</x:f>
        <x:v>0</x:v>
      </x:c>
      <x:c r="I6" s="93" t="n">
        <x:f>MAX(0,B6-D6-E6)</x:f>
        <x:v>4.358333333333334</x:v>
      </x:c>
      <x:c r="J6" s="93" t="n">
        <x:f>MAX(0,C6-D6-E6)</x:f>
        <x:v>0</x:v>
      </x:c>
      <x:c r="K6" s="93" t="n">
        <x:f>MAX(0,'Ramp Drivers'!D5-D6-'Ramp Drivers'!E5)</x:f>
        <x:v>4.358333333333331</x:v>
      </x:c>
      <x:c r="L6" s="93" t="n">
        <x:f>G6-K6</x:f>
        <x:v>3.552713678800501e-15</x:v>
      </x:c>
      <x:c r="M6" s="93" t="n">
        <x:f>IF(A6&lt;'Assumptions'!$B$18,0,INDEX($E$5:$E$41,A6-'Assumptions'!$B$18+1))</x:f>
        <x:v>0</x:v>
      </x:c>
      <x:c r="N6" s="93" t="n">
        <x:f>IF(A6&lt;'Assumptions'!$B$18,0,INDEX($F$5:$F$41,A6-'Assumptions'!$B$18+1))</x:f>
        <x:v>0</x:v>
      </x:c>
      <x:c r="O6" s="93" t="n">
        <x:f>MAX(0,B6-D6-M6-N6)</x:f>
        <x:v>4.358333333333334</x:v>
      </x:c>
      <x:c r="P6" s="93" t="n">
        <x:f>O6-G6</x:f>
        <x:v>0</x:v>
      </x:c>
      <x:c r="Q6" s="93" t="n">
        <x:f>E6-M6</x:f>
        <x:v>0</x:v>
      </x:c>
      <x:c r="R6" s="93" t="n">
        <x:f>F6-N6</x:f>
        <x:v>0</x:v>
      </x:c>
      <x:c r="S6" s="93" t="n">
        <x:f>F6*'Assumptions'!$B$13*'Assumptions'!$B$29</x:f>
        <x:v>0</x:v>
      </x:c>
      <x:c r="T6" s="93" t="n">
        <x:f>R6*'Assumptions'!$B$13*'Assumptions'!$B$29</x:f>
        <x:v>0</x:v>
      </x:c>
      <x:c r="U6" s="93" t="n">
        <x:f>1/(1+'Assumptions'!$B$17)^(A6/12)</x:f>
        <x:v>0.992088943446991</x:v>
      </x:c>
      <x:c r="V6" s="93" t="n">
        <x:f>S6*U6</x:f>
        <x:v>0</x:v>
      </x:c>
      <x:c r="W6" s="93" t="n">
        <x:f>IF(A6=0,0,IF(A6&lt;=12,('Assumptions'!$B$9+'Assumptions'!$B$10)/12,IF(A6&lt;=24,'Assumptions'!$B$11/12,'Assumptions'!$B$12/12)))</x:f>
        <x:v>416.6666666666667</x:v>
      </x:c>
      <x:c r="X6" s="93" t="n">
        <x:f>W6*U6</x:f>
        <x:v>413.3703931029129</x:v>
      </x:c>
    </x:row>
    <x:row r="7" ht="20" customHeight="1">
      <x:c r="A7" t="n">
        <x:f>'Ramp Drivers'!A6</x:f>
        <x:v>2</x:v>
      </x:c>
      <x:c r="B7" s="94" t="n">
        <x:f>'Assumptions'!$B$2*'Assumptions'!$B$3*'Assumptions'!$B$4*'Ramp Drivers'!B6</x:f>
        <x:v>77.51527777777777</x:v>
      </x:c>
      <x:c r="C7" s="94" t="n">
        <x:f>IF(A7&lt;='Assumptions'!$B$28,0,INDEX($B$5:$B$41,A7-'Assumptions'!$B$28+1))</x:f>
        <x:v>0</x:v>
      </x:c>
      <x:c r="D7" s="94" t="n">
        <x:f>'Assumptions'!$B$2*'Assumptions'!$B$5*A7/12</x:f>
        <x:v>25</x:v>
      </x:c>
      <x:c r="E7" s="94" t="n">
        <x:f>'Assumptions'!$B$7*'Assumptions'!$B$6*'Ramp Drivers'!C6</x:f>
        <x:v>0</x:v>
      </x:c>
      <x:c r="F7" s="94" t="n">
        <x:f>'Assumptions'!$B$8*'Assumptions'!$B$6*'Ramp Drivers'!C6</x:f>
        <x:v>0</x:v>
      </x:c>
      <x:c r="G7" s="93" t="n">
        <x:f>MAX(0,B7-D7-E7-F7)</x:f>
        <x:v>52.51527777777777</x:v>
      </x:c>
      <x:c r="H7" s="93" t="n">
        <x:f>MAX(0,C7-D7-E7-F7)</x:f>
        <x:v>0</x:v>
      </x:c>
      <x:c r="I7" s="93" t="n">
        <x:f>MAX(0,B7-D7-E7)</x:f>
        <x:v>52.51527777777777</x:v>
      </x:c>
      <x:c r="J7" s="93" t="n">
        <x:f>MAX(0,C7-D7-E7)</x:f>
        <x:v>0</x:v>
      </x:c>
      <x:c r="K7" s="93" t="n">
        <x:f>MAX(0,'Ramp Drivers'!D6-D7-'Ramp Drivers'!E6)</x:f>
        <x:v>52.51527777777777</x:v>
      </x:c>
      <x:c r="L7" s="93" t="n">
        <x:f>G7-K7</x:f>
        <x:v>0</x:v>
      </x:c>
      <x:c r="M7" s="93" t="n">
        <x:f>IF(A7&lt;'Assumptions'!$B$18,0,INDEX($E$5:$E$41,A7-'Assumptions'!$B$18+1))</x:f>
        <x:v>0</x:v>
      </x:c>
      <x:c r="N7" s="93" t="n">
        <x:f>IF(A7&lt;'Assumptions'!$B$18,0,INDEX($F$5:$F$41,A7-'Assumptions'!$B$18+1))</x:f>
        <x:v>0</x:v>
      </x:c>
      <x:c r="O7" s="93" t="n">
        <x:f>MAX(0,B7-D7-M7-N7)</x:f>
        <x:v>52.51527777777777</x:v>
      </x:c>
      <x:c r="P7" s="93" t="n">
        <x:f>O7-G7</x:f>
        <x:v>0</x:v>
      </x:c>
      <x:c r="Q7" s="93" t="n">
        <x:f>E7-M7</x:f>
        <x:v>0</x:v>
      </x:c>
      <x:c r="R7" s="93" t="n">
        <x:f>F7-N7</x:f>
        <x:v>0</x:v>
      </x:c>
      <x:c r="S7" s="93" t="n">
        <x:f>F7*'Assumptions'!$B$13*'Assumptions'!$B$29</x:f>
        <x:v>0</x:v>
      </x:c>
      <x:c r="T7" s="93" t="n">
        <x:f>R7*'Assumptions'!$B$13*'Assumptions'!$B$29</x:f>
        <x:v>0</x:v>
      </x:c>
      <x:c r="U7" s="93" t="n">
        <x:f>1/(1+'Assumptions'!$B$17)^(A7/12)</x:f>
        <x:v>0.9842404717097668</x:v>
      </x:c>
      <x:c r="V7" s="93" t="n">
        <x:f>S7*U7</x:f>
        <x:v>0</x:v>
      </x:c>
      <x:c r="W7" s="93" t="n">
        <x:f>IF(A7=0,0,IF(A7&lt;=12,('Assumptions'!$B$9+'Assumptions'!$B$10)/12,IF(A7&lt;=24,'Assumptions'!$B$11/12,'Assumptions'!$B$12/12)))</x:f>
        <x:v>416.6666666666667</x:v>
      </x:c>
      <x:c r="X7" s="93" t="n">
        <x:f>W7*U7</x:f>
        <x:v>410.1001965457362</x:v>
      </x:c>
    </x:row>
    <x:row r="8" ht="20" customHeight="1">
      <x:c r="A8" t="n">
        <x:f>'Ramp Drivers'!A7</x:f>
        <x:v>3</x:v>
      </x:c>
      <x:c r="B8" s="94" t="n">
        <x:f>'Assumptions'!$B$2*'Assumptions'!$B$3*'Assumptions'!$B$4*'Ramp Drivers'!B7</x:f>
        <x:v>199.4076388888889</x:v>
      </x:c>
      <x:c r="C8" s="94" t="n">
        <x:f>IF(A8&lt;='Assumptions'!$B$28,0,INDEX($B$5:$B$41,A8-'Assumptions'!$B$28+1))</x:f>
        <x:v>0</x:v>
      </x:c>
      <x:c r="D8" s="94" t="n">
        <x:f>'Assumptions'!$B$2*'Assumptions'!$B$5*A8/12</x:f>
        <x:v>37.5</x:v>
      </x:c>
      <x:c r="E8" s="94" t="n">
        <x:f>'Assumptions'!$B$7*'Assumptions'!$B$6*'Ramp Drivers'!C7</x:f>
        <x:v>0</x:v>
      </x:c>
      <x:c r="F8" s="94" t="n">
        <x:f>'Assumptions'!$B$8*'Assumptions'!$B$6*'Ramp Drivers'!C7</x:f>
        <x:v>0</x:v>
      </x:c>
      <x:c r="G8" s="93" t="n">
        <x:f>MAX(0,B8-D8-E8-F8)</x:f>
        <x:v>161.9076388888889</x:v>
      </x:c>
      <x:c r="H8" s="93" t="n">
        <x:f>MAX(0,C8-D8-E8-F8)</x:f>
        <x:v>0</x:v>
      </x:c>
      <x:c r="I8" s="93" t="n">
        <x:f>MAX(0,B8-D8-E8)</x:f>
        <x:v>161.9076388888889</x:v>
      </x:c>
      <x:c r="J8" s="93" t="n">
        <x:f>MAX(0,C8-D8-E8)</x:f>
        <x:v>0</x:v>
      </x:c>
      <x:c r="K8" s="93" t="n">
        <x:f>MAX(0,'Ramp Drivers'!D7-D8-'Ramp Drivers'!E7)</x:f>
        <x:v>161.9076388888889</x:v>
      </x:c>
      <x:c r="L8" s="93" t="n">
        <x:f>G8-K8</x:f>
        <x:v>0</x:v>
      </x:c>
      <x:c r="M8" s="93" t="n">
        <x:f>IF(A8&lt;'Assumptions'!$B$18,0,INDEX($E$5:$E$41,A8-'Assumptions'!$B$18+1))</x:f>
        <x:v>0</x:v>
      </x:c>
      <x:c r="N8" s="93" t="n">
        <x:f>IF(A8&lt;'Assumptions'!$B$18,0,INDEX($F$5:$F$41,A8-'Assumptions'!$B$18+1))</x:f>
        <x:v>0</x:v>
      </x:c>
      <x:c r="O8" s="93" t="n">
        <x:f>MAX(0,B8-D8-M8-N8)</x:f>
        <x:v>161.9076388888889</x:v>
      </x:c>
      <x:c r="P8" s="93" t="n">
        <x:f>O8-G8</x:f>
        <x:v>0</x:v>
      </x:c>
      <x:c r="Q8" s="93" t="n">
        <x:f>E8-M8</x:f>
        <x:v>0</x:v>
      </x:c>
      <x:c r="R8" s="93" t="n">
        <x:f>F8-N8</x:f>
        <x:v>0</x:v>
      </x:c>
      <x:c r="S8" s="93" t="n">
        <x:f>F8*'Assumptions'!$B$13*'Assumptions'!$B$29</x:f>
        <x:v>0</x:v>
      </x:c>
      <x:c r="T8" s="93" t="n">
        <x:f>R8*'Assumptions'!$B$13*'Assumptions'!$B$29</x:f>
        <x:v>0</x:v>
      </x:c>
      <x:c r="U8" s="93" t="n">
        <x:f>1/(1+'Assumptions'!$B$17)^(A8/12)</x:f>
        <x:v>0.9764540896763105</x:v>
      </x:c>
      <x:c r="V8" s="93" t="n">
        <x:f>S8*U8</x:f>
        <x:v>0</x:v>
      </x:c>
      <x:c r="W8" s="93" t="n">
        <x:f>IF(A8=0,0,IF(A8&lt;=12,('Assumptions'!$B$9+'Assumptions'!$B$10)/12,IF(A8&lt;=24,'Assumptions'!$B$11/12,'Assumptions'!$B$12/12)))</x:f>
        <x:v>416.6666666666667</x:v>
      </x:c>
      <x:c r="X8" s="93" t="n">
        <x:f>W8*U8</x:f>
        <x:v>406.85587069846275</x:v>
      </x:c>
    </x:row>
    <x:row r="9" ht="20" customHeight="1">
      <x:c r="A9" t="n">
        <x:f>'Ramp Drivers'!A8</x:f>
        <x:v>4</x:v>
      </x:c>
      <x:c r="B9" s="94" t="n">
        <x:f>'Assumptions'!$B$2*'Assumptions'!$B$3*'Assumptions'!$B$4*'Ramp Drivers'!B8</x:f>
        <x:v>391.8322916666666</x:v>
      </x:c>
      <x:c r="C9" s="94" t="n">
        <x:f>IF(A9&lt;='Assumptions'!$B$28,0,INDEX($B$5:$B$41,A9-'Assumptions'!$B$28+1))</x:f>
        <x:v>16.858333333333334</x:v>
      </x:c>
      <x:c r="D9" s="94" t="n">
        <x:f>'Assumptions'!$B$2*'Assumptions'!$B$5*A9/12</x:f>
        <x:v>50</x:v>
      </x:c>
      <x:c r="E9" s="94" t="n">
        <x:f>'Assumptions'!$B$7*'Assumptions'!$B$6*'Ramp Drivers'!C8</x:f>
        <x:v>0</x:v>
      </x:c>
      <x:c r="F9" s="94" t="n">
        <x:f>'Assumptions'!$B$8*'Assumptions'!$B$6*'Ramp Drivers'!C8</x:f>
        <x:v>0</x:v>
      </x:c>
      <x:c r="G9" s="93" t="n">
        <x:f>MAX(0,B9-D9-E9-F9)</x:f>
        <x:v>341.8322916666666</x:v>
      </x:c>
      <x:c r="H9" s="93" t="n">
        <x:f>MAX(0,C9-D9-E9-F9)</x:f>
        <x:v>0</x:v>
      </x:c>
      <x:c r="I9" s="93" t="n">
        <x:f>MAX(0,B9-D9-E9)</x:f>
        <x:v>341.8322916666666</x:v>
      </x:c>
      <x:c r="J9" s="93" t="n">
        <x:f>MAX(0,C9-D9-E9)</x:f>
        <x:v>0</x:v>
      </x:c>
      <x:c r="K9" s="93" t="n">
        <x:f>MAX(0,'Ramp Drivers'!D8-D9-'Ramp Drivers'!E8)</x:f>
        <x:v>341.83229166666655</x:v>
      </x:c>
      <x:c r="L9" s="93" t="n">
        <x:f>G9-K9</x:f>
        <x:v>5.684341886080802e-14</x:v>
      </x:c>
      <x:c r="M9" s="93" t="n">
        <x:f>IF(A9&lt;'Assumptions'!$B$18,0,INDEX($E$5:$E$41,A9-'Assumptions'!$B$18+1))</x:f>
        <x:v>0</x:v>
      </x:c>
      <x:c r="N9" s="93" t="n">
        <x:f>IF(A9&lt;'Assumptions'!$B$18,0,INDEX($F$5:$F$41,A9-'Assumptions'!$B$18+1))</x:f>
        <x:v>0</x:v>
      </x:c>
      <x:c r="O9" s="93" t="n">
        <x:f>MAX(0,B9-D9-M9-N9)</x:f>
        <x:v>341.8322916666666</x:v>
      </x:c>
      <x:c r="P9" s="93" t="n">
        <x:f>O9-G9</x:f>
        <x:v>0</x:v>
      </x:c>
      <x:c r="Q9" s="93" t="n">
        <x:f>E9-M9</x:f>
        <x:v>0</x:v>
      </x:c>
      <x:c r="R9" s="93" t="n">
        <x:f>F9-N9</x:f>
        <x:v>0</x:v>
      </x:c>
      <x:c r="S9" s="93" t="n">
        <x:f>F9*'Assumptions'!$B$13*'Assumptions'!$B$29</x:f>
        <x:v>0</x:v>
      </x:c>
      <x:c r="T9" s="93" t="n">
        <x:f>R9*'Assumptions'!$B$13*'Assumptions'!$B$29</x:f>
        <x:v>0</x:v>
      </x:c>
      <x:c r="U9" s="93" t="n">
        <x:f>1/(1+'Assumptions'!$B$17)^(A9/12)</x:f>
        <x:v>0.9687293061514642</x:v>
      </x:c>
      <x:c r="V9" s="93" t="n">
        <x:f>S9*U9</x:f>
        <x:v>0</x:v>
      </x:c>
      <x:c r="W9" s="93" t="n">
        <x:f>IF(A9=0,0,IF(A9&lt;=12,('Assumptions'!$B$9+'Assumptions'!$B$10)/12,IF(A9&lt;=24,'Assumptions'!$B$11/12,'Assumptions'!$B$12/12)))</x:f>
        <x:v>416.6666666666667</x:v>
      </x:c>
      <x:c r="X9" s="93" t="n">
        <x:f>W9*U9</x:f>
        <x:v>403.63721089644343</x:v>
      </x:c>
    </x:row>
    <x:row r="10" ht="20" customHeight="1">
      <x:c r="A10" t="n">
        <x:f>'Ramp Drivers'!A9</x:f>
        <x:v>5</x:v>
      </x:c>
      <x:c r="B10" s="94" t="n">
        <x:f>'Assumptions'!$B$2*'Assumptions'!$B$3*'Assumptions'!$B$4*'Ramp Drivers'!B9</x:f>
        <x:v>656.6072916666667</x:v>
      </x:c>
      <x:c r="C10" s="94" t="n">
        <x:f>IF(A10&lt;='Assumptions'!$B$28,0,INDEX($B$5:$B$41,A10-'Assumptions'!$B$28+1))</x:f>
        <x:v>77.51527777777777</x:v>
      </x:c>
      <x:c r="D10" s="94" t="n">
        <x:f>'Assumptions'!$B$2*'Assumptions'!$B$5*A10/12</x:f>
        <x:v>62.5</x:v>
      </x:c>
      <x:c r="E10" s="94" t="n">
        <x:f>'Assumptions'!$B$7*'Assumptions'!$B$6*'Ramp Drivers'!C9</x:f>
        <x:v>28.599999999999998</x:v>
      </x:c>
      <x:c r="F10" s="94" t="n">
        <x:f>'Assumptions'!$B$8*'Assumptions'!$B$6*'Ramp Drivers'!C9</x:f>
        <x:v>10.4</x:v>
      </x:c>
      <x:c r="G10" s="93" t="n">
        <x:f>MAX(0,B10-D10-E10-F10)</x:f>
        <x:v>555.1072916666667</x:v>
      </x:c>
      <x:c r="H10" s="93" t="n">
        <x:f>MAX(0,C10-D10-E10-F10)</x:f>
        <x:v>0</x:v>
      </x:c>
      <x:c r="I10" s="93" t="n">
        <x:f>MAX(0,B10-D10-E10)</x:f>
        <x:v>565.5072916666667</x:v>
      </x:c>
      <x:c r="J10" s="93" t="n">
        <x:f>MAX(0,C10-D10-E10)</x:f>
        <x:v>0</x:v>
      </x:c>
      <x:c r="K10" s="93" t="n">
        <x:f>MAX(0,'Ramp Drivers'!D9-D10-'Ramp Drivers'!E9)</x:f>
        <x:v>555.1072916666666</x:v>
      </x:c>
      <x:c r="L10" s="93" t="n">
        <x:f>G10-K10</x:f>
        <x:v>1.1368683772161603e-13</x:v>
      </x:c>
      <x:c r="M10" s="93" t="n">
        <x:f>IF(A10&lt;'Assumptions'!$B$18,0,INDEX($E$5:$E$41,A10-'Assumptions'!$B$18+1))</x:f>
        <x:v>0</x:v>
      </x:c>
      <x:c r="N10" s="93" t="n">
        <x:f>IF(A10&lt;'Assumptions'!$B$18,0,INDEX($F$5:$F$41,A10-'Assumptions'!$B$18+1))</x:f>
        <x:v>0</x:v>
      </x:c>
      <x:c r="O10" s="93" t="n">
        <x:f>MAX(0,B10-D10-M10-N10)</x:f>
        <x:v>594.1072916666667</x:v>
      </x:c>
      <x:c r="P10" s="93" t="n">
        <x:f>O10-G10</x:f>
        <x:v>39</x:v>
      </x:c>
      <x:c r="Q10" s="93" t="n">
        <x:f>E10-M10</x:f>
        <x:v>28.599999999999998</x:v>
      </x:c>
      <x:c r="R10" s="93" t="n">
        <x:f>F10-N10</x:f>
        <x:v>10.4</x:v>
      </x:c>
      <x:c r="S10" s="93" t="n">
        <x:f>F10*'Assumptions'!$B$13*'Assumptions'!$B$29</x:f>
        <x:v>62.400000000000006</x:v>
      </x:c>
      <x:c r="T10" s="93" t="n">
        <x:f>R10*'Assumptions'!$B$13*'Assumptions'!$B$29</x:f>
        <x:v>62.400000000000006</x:v>
      </x:c>
      <x:c r="U10" s="93" t="n">
        <x:f>1/(1+'Assumptions'!$B$17)^(A10/12)</x:f>
        <x:v>0.9610656338259429</x:v>
      </x:c>
      <x:c r="V10" s="93" t="n">
        <x:f>S10*U10</x:f>
        <x:v>59.97049555073884</x:v>
      </x:c>
      <x:c r="W10" s="93" t="n">
        <x:f>IF(A10=0,0,IF(A10&lt;=12,('Assumptions'!$B$9+'Assumptions'!$B$10)/12,IF(A10&lt;=24,'Assumptions'!$B$11/12,'Assumptions'!$B$12/12)))</x:f>
        <x:v>416.6666666666667</x:v>
      </x:c>
      <x:c r="X10" s="93" t="n">
        <x:f>W10*U10</x:f>
        <x:v>400.4440140941429</x:v>
      </x:c>
    </x:row>
    <x:row r="11" ht="20" customHeight="1">
      <x:c r="A11" t="n">
        <x:f>'Ramp Drivers'!A10</x:f>
        <x:v>6</x:v>
      </x:c>
      <x:c r="B11" s="94" t="n">
        <x:f>'Assumptions'!$B$2*'Assumptions'!$B$3*'Assumptions'!$B$4*'Ramp Drivers'!B10</x:f>
        <x:v>988.6503472222223</x:v>
      </x:c>
      <x:c r="C11" s="94" t="n">
        <x:f>IF(A11&lt;='Assumptions'!$B$28,0,INDEX($B$5:$B$41,A11-'Assumptions'!$B$28+1))</x:f>
        <x:v>199.4076388888889</x:v>
      </x:c>
      <x:c r="D11" s="94" t="n">
        <x:f>'Assumptions'!$B$2*'Assumptions'!$B$5*A11/12</x:f>
        <x:v>75</x:v>
      </x:c>
      <x:c r="E11" s="94" t="n">
        <x:f>'Assumptions'!$B$7*'Assumptions'!$B$6*'Ramp Drivers'!C10</x:f>
        <x:v>57.199999999999996</x:v>
      </x:c>
      <x:c r="F11" s="94" t="n">
        <x:f>'Assumptions'!$B$8*'Assumptions'!$B$6*'Ramp Drivers'!C10</x:f>
        <x:v>20.8</x:v>
      </x:c>
      <x:c r="G11" s="93" t="n">
        <x:f>MAX(0,B11-D11-E11-F11)</x:f>
        <x:v>835.6503472222223</x:v>
      </x:c>
      <x:c r="H11" s="93" t="n">
        <x:f>MAX(0,C11-D11-E11-F11)</x:f>
        <x:v>46.40763888888891</x:v>
      </x:c>
      <x:c r="I11" s="93" t="n">
        <x:f>MAX(0,B11-D11-E11)</x:f>
        <x:v>856.4503472222223</x:v>
      </x:c>
      <x:c r="J11" s="93" t="n">
        <x:f>MAX(0,C11-D11-E11)</x:f>
        <x:v>67.20763888888891</x:v>
      </x:c>
      <x:c r="K11" s="93" t="n">
        <x:f>MAX(0,'Ramp Drivers'!D10-D11-'Ramp Drivers'!E10)</x:f>
        <x:v>835.6503472222223</x:v>
      </x:c>
      <x:c r="L11" s="93" t="n">
        <x:f>G11-K11</x:f>
        <x:v>0</x:v>
      </x:c>
      <x:c r="M11" s="93" t="n">
        <x:f>IF(A11&lt;'Assumptions'!$B$18,0,INDEX($E$5:$E$41,A11-'Assumptions'!$B$18+1))</x:f>
        <x:v>0</x:v>
      </x:c>
      <x:c r="N11" s="93" t="n">
        <x:f>IF(A11&lt;'Assumptions'!$B$18,0,INDEX($F$5:$F$41,A11-'Assumptions'!$B$18+1))</x:f>
        <x:v>0</x:v>
      </x:c>
      <x:c r="O11" s="93" t="n">
        <x:f>MAX(0,B11-D11-M11-N11)</x:f>
        <x:v>913.6503472222223</x:v>
      </x:c>
      <x:c r="P11" s="93" t="n">
        <x:f>O11-G11</x:f>
        <x:v>78</x:v>
      </x:c>
      <x:c r="Q11" s="93" t="n">
        <x:f>E11-M11</x:f>
        <x:v>57.199999999999996</x:v>
      </x:c>
      <x:c r="R11" s="93" t="n">
        <x:f>F11-N11</x:f>
        <x:v>20.8</x:v>
      </x:c>
      <x:c r="S11" s="93" t="n">
        <x:f>F11*'Assumptions'!$B$13*'Assumptions'!$B$29</x:f>
        <x:v>124.80000000000001</x:v>
      </x:c>
      <x:c r="T11" s="93" t="n">
        <x:f>R11*'Assumptions'!$B$13*'Assumptions'!$B$29</x:f>
        <x:v>124.80000000000001</x:v>
      </x:c>
      <x:c r="U11" s="93" t="n">
        <x:f>1/(1+'Assumptions'!$B$17)^(A11/12)</x:f>
        <x:v>0.9534625892455922</x:v>
      </x:c>
      <x:c r="V11" s="93" t="n">
        <x:f>S11*U11</x:f>
        <x:v>118.99213113784992</x:v>
      </x:c>
      <x:c r="W11" s="93" t="n">
        <x:f>IF(A11=0,0,IF(A11&lt;=12,('Assumptions'!$B$9+'Assumptions'!$B$10)/12,IF(A11&lt;=24,'Assumptions'!$B$11/12,'Assumptions'!$B$12/12)))</x:f>
        <x:v>416.6666666666667</x:v>
      </x:c>
      <x:c r="X11" s="93" t="n">
        <x:f>W11*U11</x:f>
        <x:v>397.2760788523301</x:v>
      </x:c>
    </x:row>
    <x:row r="12" ht="20" customHeight="1">
      <x:c r="A12" t="n">
        <x:f>'Ramp Drivers'!A11</x:f>
        <x:v>7</x:v>
      </x:c>
      <x:c r="B12" s="94" t="n">
        <x:f>'Assumptions'!$B$2*'Assumptions'!$B$3*'Assumptions'!$B$4*'Ramp Drivers'!B11</x:f>
        <x:v>1371.0204861111113</x:v>
      </x:c>
      <x:c r="C12" s="94" t="n">
        <x:f>IF(A12&lt;='Assumptions'!$B$28,0,INDEX($B$5:$B$41,A12-'Assumptions'!$B$28+1))</x:f>
        <x:v>391.8322916666666</x:v>
      </x:c>
      <x:c r="D12" s="94" t="n">
        <x:f>'Assumptions'!$B$2*'Assumptions'!$B$5*A12/12</x:f>
        <x:v>87.5</x:v>
      </x:c>
      <x:c r="E12" s="94" t="n">
        <x:f>'Assumptions'!$B$7*'Assumptions'!$B$6*'Ramp Drivers'!C11</x:f>
        <x:v>85.80000000000001</x:v>
      </x:c>
      <x:c r="F12" s="94" t="n">
        <x:f>'Assumptions'!$B$8*'Assumptions'!$B$6*'Ramp Drivers'!C11</x:f>
        <x:v>31.200000000000003</x:v>
      </x:c>
      <x:c r="G12" s="93" t="n">
        <x:f>MAX(0,B12-D12-E12-F12)</x:f>
        <x:v>1166.5204861111113</x:v>
      </x:c>
      <x:c r="H12" s="93" t="n">
        <x:f>MAX(0,C12-D12-E12-F12)</x:f>
        <x:v>187.3322916666666</x:v>
      </x:c>
      <x:c r="I12" s="93" t="n">
        <x:f>MAX(0,B12-D12-E12)</x:f>
        <x:v>1197.7204861111113</x:v>
      </x:c>
      <x:c r="J12" s="93" t="n">
        <x:f>MAX(0,C12-D12-E12)</x:f>
        <x:v>218.5322916666666</x:v>
      </x:c>
      <x:c r="K12" s="93" t="n">
        <x:f>MAX(0,'Ramp Drivers'!D11-D12-'Ramp Drivers'!E11)</x:f>
        <x:v>1166.520486111111</x:v>
      </x:c>
      <x:c r="L12" s="93" t="n">
        <x:f>G12-K12</x:f>
        <x:v>2.2737367544323206e-13</x:v>
      </x:c>
      <x:c r="M12" s="93" t="n">
        <x:f>IF(A12&lt;'Assumptions'!$B$18,0,INDEX($E$5:$E$41,A12-'Assumptions'!$B$18+1))</x:f>
        <x:v>0</x:v>
      </x:c>
      <x:c r="N12" s="93" t="n">
        <x:f>IF(A12&lt;'Assumptions'!$B$18,0,INDEX($F$5:$F$41,A12-'Assumptions'!$B$18+1))</x:f>
        <x:v>0</x:v>
      </x:c>
      <x:c r="O12" s="93" t="n">
        <x:f>MAX(0,B12-D12-M12-N12)</x:f>
        <x:v>1283.5204861111113</x:v>
      </x:c>
      <x:c r="P12" s="93" t="n">
        <x:f>O12-G12</x:f>
        <x:v>117</x:v>
      </x:c>
      <x:c r="Q12" s="93" t="n">
        <x:f>E12-M12</x:f>
        <x:v>85.80000000000001</x:v>
      </x:c>
      <x:c r="R12" s="93" t="n">
        <x:f>F12-N12</x:f>
        <x:v>31.200000000000003</x:v>
      </x:c>
      <x:c r="S12" s="93" t="n">
        <x:f>F12*'Assumptions'!$B$13*'Assumptions'!$B$29</x:f>
        <x:v>187.20000000000002</x:v>
      </x:c>
      <x:c r="T12" s="93" t="n">
        <x:f>R12*'Assumptions'!$B$13*'Assumptions'!$B$29</x:f>
        <x:v>187.20000000000002</x:v>
      </x:c>
      <x:c r="U12" s="93" t="n">
        <x:f>1/(1+'Assumptions'!$B$17)^(A12/12)</x:f>
        <x:v>0.9459196927808918</x:v>
      </x:c>
      <x:c r="V12" s="93" t="n">
        <x:f>S12*U12</x:f>
        <x:v>177.07616648858297</x:v>
      </x:c>
      <x:c r="W12" s="93" t="n">
        <x:f>IF(A12=0,0,IF(A12&lt;=12,('Assumptions'!$B$9+'Assumptions'!$B$10)/12,IF(A12&lt;=24,'Assumptions'!$B$11/12,'Assumptions'!$B$12/12)))</x:f>
        <x:v>416.6666666666667</x:v>
      </x:c>
      <x:c r="X12" s="93" t="n">
        <x:f>W12*U12</x:f>
        <x:v>394.1332053253716</x:v>
      </x:c>
    </x:row>
    <x:row r="13" ht="20" customHeight="1">
      <x:c r="A13" t="n">
        <x:f>'Ramp Drivers'!A12</x:f>
        <x:v>8</x:v>
      </x:c>
      <x:c r="B13" s="94" t="n">
        <x:f>'Assumptions'!$B$2*'Assumptions'!$B$3*'Assumptions'!$B$4*'Ramp Drivers'!B12</x:f>
        <x:v>1778.9260416666666</x:v>
      </x:c>
      <x:c r="C13" s="94" t="n">
        <x:f>IF(A13&lt;='Assumptions'!$B$28,0,INDEX($B$5:$B$41,A13-'Assumptions'!$B$28+1))</x:f>
        <x:v>656.6072916666667</x:v>
      </x:c>
      <x:c r="D13" s="94" t="n">
        <x:f>'Assumptions'!$B$2*'Assumptions'!$B$5*A13/12</x:f>
        <x:v>100</x:v>
      </x:c>
      <x:c r="E13" s="94" t="n">
        <x:f>'Assumptions'!$B$7*'Assumptions'!$B$6*'Ramp Drivers'!C12</x:f>
        <x:v>114.39999999999999</x:v>
      </x:c>
      <x:c r="F13" s="94" t="n">
        <x:f>'Assumptions'!$B$8*'Assumptions'!$B$6*'Ramp Drivers'!C12</x:f>
        <x:v>41.6</x:v>
      </x:c>
      <x:c r="G13" s="93" t="n">
        <x:f>MAX(0,B13-D13-E13-F13)</x:f>
        <x:v>1522.9260416666666</x:v>
      </x:c>
      <x:c r="H13" s="93" t="n">
        <x:f>MAX(0,C13-D13-E13-F13)</x:f>
        <x:v>400.6072916666667</x:v>
      </x:c>
      <x:c r="I13" s="93" t="n">
        <x:f>MAX(0,B13-D13-E13)</x:f>
        <x:v>1564.5260416666665</x:v>
      </x:c>
      <x:c r="J13" s="93" t="n">
        <x:f>MAX(0,C13-D13-E13)</x:f>
        <x:v>442.2072916666667</x:v>
      </x:c>
      <x:c r="K13" s="93" t="n">
        <x:f>MAX(0,'Ramp Drivers'!D12-D13-'Ramp Drivers'!E12)</x:f>
        <x:v>1522.9260416666664</x:v>
      </x:c>
      <x:c r="L13" s="93" t="n">
        <x:f>G13-K13</x:f>
        <x:v>2.2737367544323206e-13</x:v>
      </x:c>
      <x:c r="M13" s="93" t="n">
        <x:f>IF(A13&lt;'Assumptions'!$B$18,0,INDEX($E$5:$E$41,A13-'Assumptions'!$B$18+1))</x:f>
        <x:v>0</x:v>
      </x:c>
      <x:c r="N13" s="93" t="n">
        <x:f>IF(A13&lt;'Assumptions'!$B$18,0,INDEX($F$5:$F$41,A13-'Assumptions'!$B$18+1))</x:f>
        <x:v>0</x:v>
      </x:c>
      <x:c r="O13" s="93" t="n">
        <x:f>MAX(0,B13-D13-M13-N13)</x:f>
        <x:v>1678.9260416666666</x:v>
      </x:c>
      <x:c r="P13" s="93" t="n">
        <x:f>O13-G13</x:f>
        <x:v>156</x:v>
      </x:c>
      <x:c r="Q13" s="93" t="n">
        <x:f>E13-M13</x:f>
        <x:v>114.39999999999999</x:v>
      </x:c>
      <x:c r="R13" s="93" t="n">
        <x:f>F13-N13</x:f>
        <x:v>41.6</x:v>
      </x:c>
      <x:c r="S13" s="93" t="n">
        <x:f>F13*'Assumptions'!$B$13*'Assumptions'!$B$29</x:f>
        <x:v>249.60000000000002</x:v>
      </x:c>
      <x:c r="T13" s="93" t="n">
        <x:f>R13*'Assumptions'!$B$13*'Assumptions'!$B$29</x:f>
        <x:v>249.60000000000002</x:v>
      </x:c>
      <x:c r="U13" s="93" t="n">
        <x:f>1/(1+'Assumptions'!$B$17)^(A13/12)</x:f>
        <x:v>0.9384364685966974</x:v>
      </x:c>
      <x:c r="V13" s="93" t="n">
        <x:f>S13*U13</x:f>
        <x:v>234.23374256173568</x:v>
      </x:c>
      <x:c r="W13" s="93" t="n">
        <x:f>IF(A13=0,0,IF(A13&lt;=12,('Assumptions'!$B$9+'Assumptions'!$B$10)/12,IF(A13&lt;=24,'Assumptions'!$B$11/12,'Assumptions'!$B$12/12)))</x:f>
        <x:v>416.6666666666667</x:v>
      </x:c>
      <x:c r="X13" s="93" t="n">
        <x:f>W13*U13</x:f>
        <x:v>391.0151952486239</x:v>
      </x:c>
    </x:row>
    <x:row r="14" ht="20" customHeight="1">
      <x:c r="A14" t="n">
        <x:f>'Ramp Drivers'!A13</x:f>
        <x:v>9</x:v>
      </x:c>
      <x:c r="B14" s="94" t="n">
        <x:f>'Assumptions'!$B$2*'Assumptions'!$B$3*'Assumptions'!$B$4*'Ramp Drivers'!B13</x:f>
        <x:v>2187.5753472222223</x:v>
      </x:c>
      <x:c r="C14" s="94" t="n">
        <x:f>IF(A14&lt;='Assumptions'!$B$28,0,INDEX($B$5:$B$41,A14-'Assumptions'!$B$28+1))</x:f>
        <x:v>988.6503472222223</x:v>
      </x:c>
      <x:c r="D14" s="94" t="n">
        <x:f>'Assumptions'!$B$2*'Assumptions'!$B$5*A14/12</x:f>
        <x:v>112.5</x:v>
      </x:c>
      <x:c r="E14" s="94" t="n">
        <x:f>'Assumptions'!$B$7*'Assumptions'!$B$6*'Ramp Drivers'!C13</x:f>
        <x:v>143</x:v>
      </x:c>
      <x:c r="F14" s="94" t="n">
        <x:f>'Assumptions'!$B$8*'Assumptions'!$B$6*'Ramp Drivers'!C13</x:f>
        <x:v>52</x:v>
      </x:c>
      <x:c r="G14" s="93" t="n">
        <x:f>MAX(0,B14-D14-E14-F14)</x:f>
        <x:v>1880.0753472222223</x:v>
      </x:c>
      <x:c r="H14" s="93" t="n">
        <x:f>MAX(0,C14-D14-E14-F14)</x:f>
        <x:v>681.1503472222223</x:v>
      </x:c>
      <x:c r="I14" s="93" t="n">
        <x:f>MAX(0,B14-D14-E14)</x:f>
        <x:v>1932.0753472222223</x:v>
      </x:c>
      <x:c r="J14" s="93" t="n">
        <x:f>MAX(0,C14-D14-E14)</x:f>
        <x:v>733.1503472222223</x:v>
      </x:c>
      <x:c r="K14" s="93" t="n">
        <x:f>MAX(0,'Ramp Drivers'!D13-D14-'Ramp Drivers'!E13)</x:f>
        <x:v>1880.0753472222218</x:v>
      </x:c>
      <x:c r="L14" s="93" t="n">
        <x:f>G14-K14</x:f>
        <x:v>4.547473508864641e-13</x:v>
      </x:c>
      <x:c r="M14" s="93" t="n">
        <x:f>IF(A14&lt;'Assumptions'!$B$18,0,INDEX($E$5:$E$41,A14-'Assumptions'!$B$18+1))</x:f>
        <x:v>0</x:v>
      </x:c>
      <x:c r="N14" s="93" t="n">
        <x:f>IF(A14&lt;'Assumptions'!$B$18,0,INDEX($F$5:$F$41,A14-'Assumptions'!$B$18+1))</x:f>
        <x:v>0</x:v>
      </x:c>
      <x:c r="O14" s="93" t="n">
        <x:f>MAX(0,B14-D14-M14-N14)</x:f>
        <x:v>2075.0753472222223</x:v>
      </x:c>
      <x:c r="P14" s="93" t="n">
        <x:f>O14-G14</x:f>
        <x:v>195</x:v>
      </x:c>
      <x:c r="Q14" s="93" t="n">
        <x:f>E14-M14</x:f>
        <x:v>143</x:v>
      </x:c>
      <x:c r="R14" s="93" t="n">
        <x:f>F14-N14</x:f>
        <x:v>52</x:v>
      </x:c>
      <x:c r="S14" s="93" t="n">
        <x:f>F14*'Assumptions'!$B$13*'Assumptions'!$B$29</x:f>
        <x:v>312</x:v>
      </x:c>
      <x:c r="T14" s="93" t="n">
        <x:f>R14*'Assumptions'!$B$13*'Assumptions'!$B$29</x:f>
        <x:v>312</x:v>
      </x:c>
      <x:c r="U14" s="93" t="n">
        <x:f>1/(1+'Assumptions'!$B$17)^(A14/12)</x:f>
        <x:v>0.9310124446222229</x:v>
      </x:c>
      <x:c r="V14" s="93" t="n">
        <x:f>S14*U14</x:f>
        <x:v>290.4758827221335</x:v>
      </x:c>
      <x:c r="W14" s="93" t="n">
        <x:f>IF(A14=0,0,IF(A14&lt;=12,('Assumptions'!$B$9+'Assumptions'!$B$10)/12,IF(A14&lt;=24,'Assumptions'!$B$11/12,'Assumptions'!$B$12/12)))</x:f>
        <x:v>416.6666666666667</x:v>
      </x:c>
      <x:c r="X14" s="93" t="n">
        <x:f>W14*U14</x:f>
        <x:v>387.9218519259262</x:v>
      </x:c>
    </x:row>
    <x:row r="15" ht="20" customHeight="1">
      <x:c r="A15" t="n">
        <x:f>'Ramp Drivers'!A14</x:f>
        <x:v>10</x:v>
      </x:c>
      <x:c r="B15" s="94" t="n">
        <x:f>'Assumptions'!$B$2*'Assumptions'!$B$3*'Assumptions'!$B$4*'Ramp Drivers'!B14</x:f>
        <x:v>2572.176736111111</x:v>
      </x:c>
      <x:c r="C15" s="94" t="n">
        <x:f>IF(A15&lt;='Assumptions'!$B$28,0,INDEX($B$5:$B$41,A15-'Assumptions'!$B$28+1))</x:f>
        <x:v>1371.0204861111113</x:v>
      </x:c>
      <x:c r="D15" s="94" t="n">
        <x:f>'Assumptions'!$B$2*'Assumptions'!$B$5*A15/12</x:f>
        <x:v>125</x:v>
      </x:c>
      <x:c r="E15" s="94" t="n">
        <x:f>'Assumptions'!$B$7*'Assumptions'!$B$6*'Ramp Drivers'!C14</x:f>
        <x:v>171.60000000000002</x:v>
      </x:c>
      <x:c r="F15" s="94" t="n">
        <x:f>'Assumptions'!$B$8*'Assumptions'!$B$6*'Ramp Drivers'!C14</x:f>
        <x:v>62.400000000000006</x:v>
      </x:c>
      <x:c r="G15" s="93" t="n">
        <x:f>MAX(0,B15-D15-E15-F15)</x:f>
        <x:v>2213.176736111111</x:v>
      </x:c>
      <x:c r="H15" s="93" t="n">
        <x:f>MAX(0,C15-D15-E15-F15)</x:f>
        <x:v>1012.0204861111112</x:v>
      </x:c>
      <x:c r="I15" s="93" t="n">
        <x:f>MAX(0,B15-D15-E15)</x:f>
        <x:v>2275.576736111111</x:v>
      </x:c>
      <x:c r="J15" s="93" t="n">
        <x:f>MAX(0,C15-D15-E15)</x:f>
        <x:v>1074.4204861111111</x:v>
      </x:c>
      <x:c r="K15" s="93" t="n">
        <x:f>MAX(0,'Ramp Drivers'!D14-D15-'Ramp Drivers'!E14)</x:f>
        <x:v>2213.176736111111</x:v>
      </x:c>
      <x:c r="L15" s="93" t="n">
        <x:f>G15-K15</x:f>
        <x:v>0</x:v>
      </x:c>
      <x:c r="M15" s="93" t="n">
        <x:f>IF(A15&lt;'Assumptions'!$B$18,0,INDEX($E$5:$E$41,A15-'Assumptions'!$B$18+1))</x:f>
        <x:v>0</x:v>
      </x:c>
      <x:c r="N15" s="93" t="n">
        <x:f>IF(A15&lt;'Assumptions'!$B$18,0,INDEX($F$5:$F$41,A15-'Assumptions'!$B$18+1))</x:f>
        <x:v>0</x:v>
      </x:c>
      <x:c r="O15" s="93" t="n">
        <x:f>MAX(0,B15-D15-M15-N15)</x:f>
        <x:v>2447.176736111111</x:v>
      </x:c>
      <x:c r="P15" s="93" t="n">
        <x:f>O15-G15</x:f>
        <x:v>234</x:v>
      </x:c>
      <x:c r="Q15" s="93" t="n">
        <x:f>E15-M15</x:f>
        <x:v>171.60000000000002</x:v>
      </x:c>
      <x:c r="R15" s="93" t="n">
        <x:f>F15-N15</x:f>
        <x:v>62.400000000000006</x:v>
      </x:c>
      <x:c r="S15" s="93" t="n">
        <x:f>F15*'Assumptions'!$B$13*'Assumptions'!$B$29</x:f>
        <x:v>374.40000000000003</x:v>
      </x:c>
      <x:c r="T15" s="93" t="n">
        <x:f>R15*'Assumptions'!$B$13*'Assumptions'!$B$29</x:f>
        <x:v>374.40000000000003</x:v>
      </x:c>
      <x:c r="U15" s="93" t="n">
        <x:f>1/(1+'Assumptions'!$B$17)^(A15/12)</x:f>
        <x:v>0.9236471525212612</x:v>
      </x:c>
      <x:c r="V15" s="93" t="n">
        <x:f>S15*U15</x:f>
        <x:v>345.8134939039602</x:v>
      </x:c>
      <x:c r="W15" s="93" t="n">
        <x:f>IF(A15=0,0,IF(A15&lt;=12,('Assumptions'!$B$9+'Assumptions'!$B$10)/12,IF(A15&lt;=24,'Assumptions'!$B$11/12,'Assumptions'!$B$12/12)))</x:f>
        <x:v>416.6666666666667</x:v>
      </x:c>
      <x:c r="X15" s="93" t="n">
        <x:f>W15*U15</x:f>
        <x:v>384.85298021719217</x:v>
      </x:c>
    </x:row>
    <x:row r="16" ht="20" customHeight="1">
      <x:c r="A16" t="n">
        <x:f>'Ramp Drivers'!A15</x:f>
        <x:v>11</x:v>
      </x:c>
      <x:c r="B16" s="94" t="n">
        <x:f>'Assumptions'!$B$2*'Assumptions'!$B$3*'Assumptions'!$B$4*'Ramp Drivers'!B15</x:f>
        <x:v>2907.9385416666673</x:v>
      </x:c>
      <x:c r="C16" s="94" t="n">
        <x:f>IF(A16&lt;='Assumptions'!$B$28,0,INDEX($B$5:$B$41,A16-'Assumptions'!$B$28+1))</x:f>
        <x:v>1778.9260416666666</x:v>
      </x:c>
      <x:c r="D16" s="94" t="n">
        <x:f>'Assumptions'!$B$2*'Assumptions'!$B$5*A16/12</x:f>
        <x:v>137.5</x:v>
      </x:c>
      <x:c r="E16" s="94" t="n">
        <x:f>'Assumptions'!$B$7*'Assumptions'!$B$6*'Ramp Drivers'!C15</x:f>
        <x:v>200.20000000000002</x:v>
      </x:c>
      <x:c r="F16" s="94" t="n">
        <x:f>'Assumptions'!$B$8*'Assumptions'!$B$6*'Ramp Drivers'!C15</x:f>
        <x:v>72.8</x:v>
      </x:c>
      <x:c r="G16" s="93" t="n">
        <x:f>MAX(0,B16-D16-E16-F16)</x:f>
        <x:v>2497.4385416666673</x:v>
      </x:c>
      <x:c r="H16" s="93" t="n">
        <x:f>MAX(0,C16-D16-E16-F16)</x:f>
        <x:v>1368.4260416666666</x:v>
      </x:c>
      <x:c r="I16" s="93" t="n">
        <x:f>MAX(0,B16-D16-E16)</x:f>
        <x:v>2570.2385416666675</x:v>
      </x:c>
      <x:c r="J16" s="93" t="n">
        <x:f>MAX(0,C16-D16-E16)</x:f>
        <x:v>1441.2260416666666</x:v>
      </x:c>
      <x:c r="K16" s="93" t="n">
        <x:f>MAX(0,'Ramp Drivers'!D15-D16-'Ramp Drivers'!E15)</x:f>
        <x:v>2497.4385416666673</x:v>
      </x:c>
      <x:c r="L16" s="93" t="n">
        <x:f>G16-K16</x:f>
        <x:v>0</x:v>
      </x:c>
      <x:c r="M16" s="93" t="n">
        <x:f>IF(A16&lt;'Assumptions'!$B$18,0,INDEX($E$5:$E$41,A16-'Assumptions'!$B$18+1))</x:f>
        <x:v>0</x:v>
      </x:c>
      <x:c r="N16" s="93" t="n">
        <x:f>IF(A16&lt;'Assumptions'!$B$18,0,INDEX($F$5:$F$41,A16-'Assumptions'!$B$18+1))</x:f>
        <x:v>0</x:v>
      </x:c>
      <x:c r="O16" s="93" t="n">
        <x:f>MAX(0,B16-D16-M16-N16)</x:f>
        <x:v>2770.4385416666673</x:v>
      </x:c>
      <x:c r="P16" s="93" t="n">
        <x:f>O16-G16</x:f>
        <x:v>273</x:v>
      </x:c>
      <x:c r="Q16" s="93" t="n">
        <x:f>E16-M16</x:f>
        <x:v>200.20000000000002</x:v>
      </x:c>
      <x:c r="R16" s="93" t="n">
        <x:f>F16-N16</x:f>
        <x:v>72.8</x:v>
      </x:c>
      <x:c r="S16" s="93" t="n">
        <x:f>F16*'Assumptions'!$B$13*'Assumptions'!$B$29</x:f>
        <x:v>436.79999999999995</x:v>
      </x:c>
      <x:c r="T16" s="93" t="n">
        <x:f>R16*'Assumptions'!$B$13*'Assumptions'!$B$29</x:f>
        <x:v>436.79999999999995</x:v>
      </x:c>
      <x:c r="U16" s="93" t="n">
        <x:f>1/(1+'Assumptions'!$B$17)^(A16/12)</x:f>
        <x:v>0.9163401276626396</x:v>
      </x:c>
      <x:c r="V16" s="93" t="n">
        <x:f>S16*U16</x:f>
        <x:v>400.2573677630409</x:v>
      </x:c>
      <x:c r="W16" s="93" t="n">
        <x:f>IF(A16=0,0,IF(A16&lt;=12,('Assumptions'!$B$9+'Assumptions'!$B$10)/12,IF(A16&lt;=24,'Assumptions'!$B$11/12,'Assumptions'!$B$12/12)))</x:f>
        <x:v>416.6666666666667</x:v>
      </x:c>
      <x:c r="X16" s="93" t="n">
        <x:f>W16*U16</x:f>
        <x:v>381.80838652609987</x:v>
      </x:c>
    </x:row>
    <x:row r="17" ht="20" customHeight="1">
      <x:c r="A17" t="n">
        <x:f>'Ramp Drivers'!A16</x:f>
        <x:v>12</x:v>
      </x:c>
      <x:c r="B17" s="94" t="n">
        <x:f>'Assumptions'!$B$2*'Assumptions'!$B$3*'Assumptions'!$B$4*'Ramp Drivers'!B16</x:f>
        <x:v>3170.069097222222</x:v>
      </x:c>
      <x:c r="C17" s="94" t="n">
        <x:f>IF(A17&lt;='Assumptions'!$B$28,0,INDEX($B$5:$B$41,A17-'Assumptions'!$B$28+1))</x:f>
        <x:v>2187.5753472222223</x:v>
      </x:c>
      <x:c r="D17" s="94" t="n">
        <x:f>'Assumptions'!$B$2*'Assumptions'!$B$5*A17/12</x:f>
        <x:v>150</x:v>
      </x:c>
      <x:c r="E17" s="94" t="n">
        <x:f>'Assumptions'!$B$7*'Assumptions'!$B$6*'Ramp Drivers'!C16</x:f>
        <x:v>228.79999999999998</x:v>
      </x:c>
      <x:c r="F17" s="94" t="n">
        <x:f>'Assumptions'!$B$8*'Assumptions'!$B$6*'Ramp Drivers'!C16</x:f>
        <x:v>83.2</x:v>
      </x:c>
      <x:c r="G17" s="93" t="n">
        <x:f>MAX(0,B17-D17-E17-F17)</x:f>
        <x:v>2708.069097222222</x:v>
      </x:c>
      <x:c r="H17" s="93" t="n">
        <x:f>MAX(0,C17-D17-E17-F17)</x:f>
        <x:v>1725.5753472222223</x:v>
      </x:c>
      <x:c r="I17" s="93" t="n">
        <x:f>MAX(0,B17-D17-E17)</x:f>
        <x:v>2791.2690972222217</x:v>
      </x:c>
      <x:c r="J17" s="93" t="n">
        <x:f>MAX(0,C17-D17-E17)</x:f>
        <x:v>1808.7753472222223</x:v>
      </x:c>
      <x:c r="K17" s="93" t="n">
        <x:f>MAX(0,'Ramp Drivers'!D16-D17-'Ramp Drivers'!E16)</x:f>
        <x:v>2708.0690972222214</x:v>
      </x:c>
      <x:c r="L17" s="93" t="n">
        <x:f>G17-K17</x:f>
        <x:v>4.547473508864641e-13</x:v>
      </x:c>
      <x:c r="M17" s="93" t="n">
        <x:f>IF(A17&lt;'Assumptions'!$B$18,0,INDEX($E$5:$E$41,A17-'Assumptions'!$B$18+1))</x:f>
        <x:v>0</x:v>
      </x:c>
      <x:c r="N17" s="93" t="n">
        <x:f>IF(A17&lt;'Assumptions'!$B$18,0,INDEX($F$5:$F$41,A17-'Assumptions'!$B$18+1))</x:f>
        <x:v>0</x:v>
      </x:c>
      <x:c r="O17" s="93" t="n">
        <x:f>MAX(0,B17-D17-M17-N17)</x:f>
        <x:v>3020.069097222222</x:v>
      </x:c>
      <x:c r="P17" s="93" t="n">
        <x:f>O17-G17</x:f>
        <x:v>312</x:v>
      </x:c>
      <x:c r="Q17" s="93" t="n">
        <x:f>E17-M17</x:f>
        <x:v>228.79999999999998</x:v>
      </x:c>
      <x:c r="R17" s="93" t="n">
        <x:f>F17-N17</x:f>
        <x:v>83.2</x:v>
      </x:c>
      <x:c r="S17" s="93" t="n">
        <x:f>F17*'Assumptions'!$B$13*'Assumptions'!$B$29</x:f>
        <x:v>499.20000000000005</x:v>
      </x:c>
      <x:c r="T17" s="93" t="n">
        <x:f>R17*'Assumptions'!$B$13*'Assumptions'!$B$29</x:f>
        <x:v>499.20000000000005</x:v>
      </x:c>
      <x:c r="U17" s="93" t="n">
        <x:f>1/(1+'Assumptions'!$B$17)^(A17/12)</x:f>
        <x:v>0.9090909090909091</x:v>
      </x:c>
      <x:c r="V17" s="93" t="n">
        <x:f>S17*U17</x:f>
        <x:v>453.81818181818187</x:v>
      </x:c>
      <x:c r="W17" s="93" t="n">
        <x:f>IF(A17=0,0,IF(A17&lt;=12,('Assumptions'!$B$9+'Assumptions'!$B$10)/12,IF(A17&lt;=24,'Assumptions'!$B$11/12,'Assumptions'!$B$12/12)))</x:f>
        <x:v>416.6666666666667</x:v>
      </x:c>
      <x:c r="X17" s="93" t="n">
        <x:f>W17*U17</x:f>
        <x:v>378.7878787878788</x:v>
      </x:c>
    </x:row>
    <x:row r="18" ht="20" customHeight="1">
      <x:c r="A18" t="n">
        <x:f>'Ramp Drivers'!A17</x:f>
        <x:v>13</x:v>
      </x:c>
      <x:c r="B18" s="94" t="n">
        <x:f>'Assumptions'!$B$2*'Assumptions'!$B$3*'Assumptions'!$B$4*'Ramp Drivers'!B17</x:f>
        <x:v>3352.618402777778</x:v>
      </x:c>
      <x:c r="C18" s="94" t="n">
        <x:f>IF(A18&lt;='Assumptions'!$B$28,0,INDEX($B$5:$B$41,A18-'Assumptions'!$B$28+1))</x:f>
        <x:v>2572.176736111111</x:v>
      </x:c>
      <x:c r="D18" s="94" t="n">
        <x:f>'Assumptions'!$B$2*'Assumptions'!$B$5*A18/12</x:f>
        <x:v>162.5</x:v>
      </x:c>
      <x:c r="E18" s="94" t="n">
        <x:f>'Assumptions'!$B$7*'Assumptions'!$B$6*'Ramp Drivers'!C17</x:f>
        <x:v>257.4</x:v>
      </x:c>
      <x:c r="F18" s="94" t="n">
        <x:f>'Assumptions'!$B$8*'Assumptions'!$B$6*'Ramp Drivers'!C17</x:f>
        <x:v>93.6</x:v>
      </x:c>
      <x:c r="G18" s="93" t="n">
        <x:f>MAX(0,B18-D18-E18-F18)</x:f>
        <x:v>2839.118402777778</x:v>
      </x:c>
      <x:c r="H18" s="93" t="n">
        <x:f>MAX(0,C18-D18-E18-F18)</x:f>
        <x:v>2058.676736111111</x:v>
      </x:c>
      <x:c r="I18" s="93" t="n">
        <x:f>MAX(0,B18-D18-E18)</x:f>
        <x:v>2932.718402777778</x:v>
      </x:c>
      <x:c r="J18" s="93" t="n">
        <x:f>MAX(0,C18-D18-E18)</x:f>
        <x:v>2152.276736111111</x:v>
      </x:c>
      <x:c r="K18" s="93" t="n">
        <x:f>MAX(0,'Ramp Drivers'!D17-D18-'Ramp Drivers'!E17)</x:f>
        <x:v>2839.1184027777776</x:v>
      </x:c>
      <x:c r="L18" s="93" t="n">
        <x:f>G18-K18</x:f>
        <x:v>4.547473508864641e-13</x:v>
      </x:c>
      <x:c r="M18" s="93" t="n">
        <x:f>IF(A18&lt;'Assumptions'!$B$18,0,INDEX($E$5:$E$41,A18-'Assumptions'!$B$18+1))</x:f>
        <x:v>0</x:v>
      </x:c>
      <x:c r="N18" s="93" t="n">
        <x:f>IF(A18&lt;'Assumptions'!$B$18,0,INDEX($F$5:$F$41,A18-'Assumptions'!$B$18+1))</x:f>
        <x:v>0</x:v>
      </x:c>
      <x:c r="O18" s="93" t="n">
        <x:f>MAX(0,B18-D18-M18-N18)</x:f>
        <x:v>3190.118402777778</x:v>
      </x:c>
      <x:c r="P18" s="93" t="n">
        <x:f>O18-G18</x:f>
        <x:v>351</x:v>
      </x:c>
      <x:c r="Q18" s="93" t="n">
        <x:f>E18-M18</x:f>
        <x:v>257.4</x:v>
      </x:c>
      <x:c r="R18" s="93" t="n">
        <x:f>F18-N18</x:f>
        <x:v>93.6</x:v>
      </x:c>
      <x:c r="S18" s="93" t="n">
        <x:f>F18*'Assumptions'!$B$13*'Assumptions'!$B$29</x:f>
        <x:v>561.5999999999999</x:v>
      </x:c>
      <x:c r="T18" s="93" t="n">
        <x:f>R18*'Assumptions'!$B$13*'Assumptions'!$B$29</x:f>
        <x:v>561.5999999999999</x:v>
      </x:c>
      <x:c r="U18" s="93" t="n">
        <x:f>1/(1+'Assumptions'!$B$17)^(A18/12)</x:f>
        <x:v>0.9018990394972645</x:v>
      </x:c>
      <x:c r="V18" s="93" t="n">
        <x:f>S18*U18</x:f>
        <x:v>506.50650058166366</x:v>
      </x:c>
      <x:c r="W18" s="93" t="n">
        <x:f>IF(A18=0,0,IF(A18&lt;=12,('Assumptions'!$B$9+'Assumptions'!$B$10)/12,IF(A18&lt;=24,'Assumptions'!$B$11/12,'Assumptions'!$B$12/12)))</x:f>
        <x:v>41.666666666666664</x:v>
      </x:c>
      <x:c r="X18" s="93" t="n">
        <x:f>W18*U18</x:f>
        <x:v>37.57912664571935</x:v>
      </x:c>
    </x:row>
    <x:row r="19" ht="20" customHeight="1">
      <x:c r="A19" t="n">
        <x:f>'Ramp Drivers'!A18</x:f>
        <x:v>14</x:v>
      </x:c>
      <x:c r="B19" s="94" t="n">
        <x:f>'Assumptions'!$B$2*'Assumptions'!$B$3*'Assumptions'!$B$4*'Ramp Drivers'!B18</x:f>
        <x:v>3469.3045138888892</x:v>
      </x:c>
      <x:c r="C19" s="94" t="n">
        <x:f>IF(A19&lt;='Assumptions'!$B$28,0,INDEX($B$5:$B$41,A19-'Assumptions'!$B$28+1))</x:f>
        <x:v>2907.9385416666673</x:v>
      </x:c>
      <x:c r="D19" s="94" t="n">
        <x:f>'Assumptions'!$B$2*'Assumptions'!$B$5*A19/12</x:f>
        <x:v>175</x:v>
      </x:c>
      <x:c r="E19" s="94" t="n">
        <x:f>'Assumptions'!$B$7*'Assumptions'!$B$6*'Ramp Drivers'!C18</x:f>
        <x:v>286</x:v>
      </x:c>
      <x:c r="F19" s="94" t="n">
        <x:f>'Assumptions'!$B$8*'Assumptions'!$B$6*'Ramp Drivers'!C18</x:f>
        <x:v>104</x:v>
      </x:c>
      <x:c r="G19" s="93" t="n">
        <x:f>MAX(0,B19-D19-E19-F19)</x:f>
        <x:v>2904.3045138888892</x:v>
      </x:c>
      <x:c r="H19" s="93" t="n">
        <x:f>MAX(0,C19-D19-E19-F19)</x:f>
        <x:v>2342.9385416666673</x:v>
      </x:c>
      <x:c r="I19" s="93" t="n">
        <x:f>MAX(0,B19-D19-E19)</x:f>
        <x:v>3008.3045138888892</x:v>
      </x:c>
      <x:c r="J19" s="93" t="n">
        <x:f>MAX(0,C19-D19-E19)</x:f>
        <x:v>2446.9385416666673</x:v>
      </x:c>
      <x:c r="K19" s="93" t="n">
        <x:f>MAX(0,'Ramp Drivers'!D18-D19-'Ramp Drivers'!E18)</x:f>
        <x:v>2904.3045138888892</x:v>
      </x:c>
      <x:c r="L19" s="93" t="n">
        <x:f>G19-K19</x:f>
        <x:v>0</x:v>
      </x:c>
      <x:c r="M19" s="93" t="n">
        <x:f>IF(A19&lt;'Assumptions'!$B$18,0,INDEX($E$5:$E$41,A19-'Assumptions'!$B$18+1))</x:f>
        <x:v>0</x:v>
      </x:c>
      <x:c r="N19" s="93" t="n">
        <x:f>IF(A19&lt;'Assumptions'!$B$18,0,INDEX($F$5:$F$41,A19-'Assumptions'!$B$18+1))</x:f>
        <x:v>0</x:v>
      </x:c>
      <x:c r="O19" s="93" t="n">
        <x:f>MAX(0,B19-D19-M19-N19)</x:f>
        <x:v>3294.3045138888892</x:v>
      </x:c>
      <x:c r="P19" s="93" t="n">
        <x:f>O19-G19</x:f>
        <x:v>390</x:v>
      </x:c>
      <x:c r="Q19" s="93" t="n">
        <x:f>E19-M19</x:f>
        <x:v>286</x:v>
      </x:c>
      <x:c r="R19" s="93" t="n">
        <x:f>F19-N19</x:f>
        <x:v>104</x:v>
      </x:c>
      <x:c r="S19" s="93" t="n">
        <x:f>F19*'Assumptions'!$B$13*'Assumptions'!$B$29</x:f>
        <x:v>624</x:v>
      </x:c>
      <x:c r="T19" s="93" t="n">
        <x:f>R19*'Assumptions'!$B$13*'Assumptions'!$B$29</x:f>
        <x:v>624</x:v>
      </x:c>
      <x:c r="U19" s="93" t="n">
        <x:f>1/(1+'Assumptions'!$B$17)^(A19/12)</x:f>
        <x:v>0.8947640651906971</x:v>
      </x:c>
      <x:c r="V19" s="93" t="n">
        <x:f>S19*U19</x:f>
        <x:v>558.332776678995</x:v>
      </x:c>
      <x:c r="W19" s="93" t="n">
        <x:f>IF(A19=0,0,IF(A19&lt;=12,('Assumptions'!$B$9+'Assumptions'!$B$10)/12,IF(A19&lt;=24,'Assumptions'!$B$11/12,'Assumptions'!$B$12/12)))</x:f>
        <x:v>41.666666666666664</x:v>
      </x:c>
      <x:c r="X19" s="93" t="n">
        <x:f>W19*U19</x:f>
        <x:v>37.28183604961237</x:v>
      </x:c>
    </x:row>
    <x:row r="20" ht="20" customHeight="1">
      <x:c r="A20" t="n">
        <x:f>'Ramp Drivers'!A19</x:f>
        <x:v>15</x:v>
      </x:c>
      <x:c r="B20" s="94" t="n">
        <x:f>'Assumptions'!$B$2*'Assumptions'!$B$3*'Assumptions'!$B$4*'Ramp Drivers'!B19</x:f>
        <x:v>3534.423958333333</x:v>
      </x:c>
      <x:c r="C20" s="94" t="n">
        <x:f>IF(A20&lt;='Assumptions'!$B$28,0,INDEX($B$5:$B$41,A20-'Assumptions'!$B$28+1))</x:f>
        <x:v>3170.069097222222</x:v>
      </x:c>
      <x:c r="D20" s="94" t="n">
        <x:f>'Assumptions'!$B$2*'Assumptions'!$B$5*A20/12</x:f>
        <x:v>187.5</x:v>
      </x:c>
      <x:c r="E20" s="94" t="n">
        <x:f>'Assumptions'!$B$7*'Assumptions'!$B$6*'Ramp Drivers'!C19</x:f>
        <x:v>314.59999999999997</x:v>
      </x:c>
      <x:c r="F20" s="94" t="n">
        <x:f>'Assumptions'!$B$8*'Assumptions'!$B$6*'Ramp Drivers'!C19</x:f>
        <x:v>114.39999999999999</x:v>
      </x:c>
      <x:c r="G20" s="93" t="n">
        <x:f>MAX(0,B20-D20-E20-F20)</x:f>
        <x:v>2917.923958333333</x:v>
      </x:c>
      <x:c r="H20" s="93" t="n">
        <x:f>MAX(0,C20-D20-E20-F20)</x:f>
        <x:v>2553.569097222222</x:v>
      </x:c>
      <x:c r="I20" s="93" t="n">
        <x:f>MAX(0,B20-D20-E20)</x:f>
        <x:v>3032.323958333333</x:v>
      </x:c>
      <x:c r="J20" s="93" t="n">
        <x:f>MAX(0,C20-D20-E20)</x:f>
        <x:v>2667.969097222222</x:v>
      </x:c>
      <x:c r="K20" s="93" t="n">
        <x:f>MAX(0,'Ramp Drivers'!D19-D20-'Ramp Drivers'!E19)</x:f>
        <x:v>2917.923958333333</x:v>
      </x:c>
      <x:c r="L20" s="93" t="n">
        <x:f>G20-K20</x:f>
        <x:v>0</x:v>
      </x:c>
      <x:c r="M20" s="93" t="n">
        <x:f>IF(A20&lt;'Assumptions'!$B$18,0,INDEX($E$5:$E$41,A20-'Assumptions'!$B$18+1))</x:f>
        <x:v>0</x:v>
      </x:c>
      <x:c r="N20" s="93" t="n">
        <x:f>IF(A20&lt;'Assumptions'!$B$18,0,INDEX($F$5:$F$41,A20-'Assumptions'!$B$18+1))</x:f>
        <x:v>0</x:v>
      </x:c>
      <x:c r="O20" s="93" t="n">
        <x:f>MAX(0,B20-D20-M20-N20)</x:f>
        <x:v>3346.923958333333</x:v>
      </x:c>
      <x:c r="P20" s="93" t="n">
        <x:f>O20-G20</x:f>
        <x:v>429</x:v>
      </x:c>
      <x:c r="Q20" s="93" t="n">
        <x:f>E20-M20</x:f>
        <x:v>314.59999999999997</x:v>
      </x:c>
      <x:c r="R20" s="93" t="n">
        <x:f>F20-N20</x:f>
        <x:v>114.39999999999999</x:v>
      </x:c>
      <x:c r="S20" s="93" t="n">
        <x:f>F20*'Assumptions'!$B$13*'Assumptions'!$B$29</x:f>
        <x:v>686.4</x:v>
      </x:c>
      <x:c r="T20" s="93" t="n">
        <x:f>R20*'Assumptions'!$B$13*'Assumptions'!$B$29</x:f>
        <x:v>686.4</x:v>
      </x:c>
      <x:c r="U20" s="93" t="n">
        <x:f>1/(1+'Assumptions'!$B$17)^(A20/12)</x:f>
        <x:v>0.8876855360693731</x:v>
      </x:c>
      <x:c r="V20" s="93" t="n">
        <x:f>S20*U20</x:f>
        <x:v>609.3073519580176</x:v>
      </x:c>
      <x:c r="W20" s="93" t="n">
        <x:f>IF(A20=0,0,IF(A20&lt;=12,('Assumptions'!$B$9+'Assumptions'!$B$10)/12,IF(A20&lt;=24,'Assumptions'!$B$11/12,'Assumptions'!$B$12/12)))</x:f>
        <x:v>41.666666666666664</x:v>
      </x:c>
      <x:c r="X20" s="93" t="n">
        <x:f>W20*U20</x:f>
        <x:v>36.986897336223876</x:v>
      </x:c>
    </x:row>
    <x:row r="21" ht="20" customHeight="1">
      <x:c r="A21" t="n">
        <x:f>'Ramp Drivers'!A20</x:f>
        <x:v>16</x:v>
      </x:c>
      <x:c r="B21" s="94" t="n">
        <x:f>'Assumptions'!$B$2*'Assumptions'!$B$3*'Assumptions'!$B$4*'Ramp Drivers'!B20</x:f>
        <x:v>3562.9756944444443</x:v>
      </x:c>
      <x:c r="C21" s="94" t="n">
        <x:f>IF(A21&lt;='Assumptions'!$B$28,0,INDEX($B$5:$B$41,A21-'Assumptions'!$B$28+1))</x:f>
        <x:v>3352.618402777778</x:v>
      </x:c>
      <x:c r="D21" s="94" t="n">
        <x:f>'Assumptions'!$B$2*'Assumptions'!$B$5*A21/12</x:f>
        <x:v>200</x:v>
      </x:c>
      <x:c r="E21" s="94" t="n">
        <x:f>'Assumptions'!$B$7*'Assumptions'!$B$6*'Ramp Drivers'!C20</x:f>
        <x:v>343.20000000000005</x:v>
      </x:c>
      <x:c r="F21" s="94" t="n">
        <x:f>'Assumptions'!$B$8*'Assumptions'!$B$6*'Ramp Drivers'!C20</x:f>
        <x:v>124.80000000000001</x:v>
      </x:c>
      <x:c r="G21" s="93" t="n">
        <x:f>MAX(0,B21-D21-E21-F21)</x:f>
        <x:v>2894.9756944444443</x:v>
      </x:c>
      <x:c r="H21" s="93" t="n">
        <x:f>MAX(0,C21-D21-E21-F21)</x:f>
        <x:v>2684.618402777778</x:v>
      </x:c>
      <x:c r="I21" s="93" t="n">
        <x:f>MAX(0,B21-D21-E21)</x:f>
        <x:v>3019.7756944444445</x:v>
      </x:c>
      <x:c r="J21" s="93" t="n">
        <x:f>MAX(0,C21-D21-E21)</x:f>
        <x:v>2809.4184027777783</x:v>
      </x:c>
      <x:c r="K21" s="93" t="n">
        <x:f>MAX(0,'Ramp Drivers'!D20-D21-'Ramp Drivers'!E20)</x:f>
        <x:v>2894.975694444444</x:v>
      </x:c>
      <x:c r="L21" s="93" t="n">
        <x:f>G21-K21</x:f>
        <x:v>4.547473508864641e-13</x:v>
      </x:c>
      <x:c r="M21" s="93" t="n">
        <x:f>IF(A21&lt;'Assumptions'!$B$18,0,INDEX($E$5:$E$41,A21-'Assumptions'!$B$18+1))</x:f>
        <x:v>0</x:v>
      </x:c>
      <x:c r="N21" s="93" t="n">
        <x:f>IF(A21&lt;'Assumptions'!$B$18,0,INDEX($F$5:$F$41,A21-'Assumptions'!$B$18+1))</x:f>
        <x:v>0</x:v>
      </x:c>
      <x:c r="O21" s="93" t="n">
        <x:f>MAX(0,B21-D21-M21-N21)</x:f>
        <x:v>3362.9756944444443</x:v>
      </x:c>
      <x:c r="P21" s="93" t="n">
        <x:f>O21-G21</x:f>
        <x:v>468</x:v>
      </x:c>
      <x:c r="Q21" s="93" t="n">
        <x:f>E21-M21</x:f>
        <x:v>343.20000000000005</x:v>
      </x:c>
      <x:c r="R21" s="93" t="n">
        <x:f>F21-N21</x:f>
        <x:v>124.80000000000001</x:v>
      </x:c>
      <x:c r="S21" s="93" t="n">
        <x:f>F21*'Assumptions'!$B$13*'Assumptions'!$B$29</x:f>
        <x:v>748.8000000000001</x:v>
      </x:c>
      <x:c r="T21" s="93" t="n">
        <x:f>R21*'Assumptions'!$B$13*'Assumptions'!$B$29</x:f>
        <x:v>748.8000000000001</x:v>
      </x:c>
      <x:c r="U21" s="93" t="n">
        <x:f>1/(1+'Assumptions'!$B$17)^(A21/12)</x:f>
        <x:v>0.8806630055922402</x:v>
      </x:c>
      <x:c r="V21" s="93" t="n">
        <x:f>S21*U21</x:f>
        <x:v>659.4404585874695</x:v>
      </x:c>
      <x:c r="W21" s="93" t="n">
        <x:f>IF(A21=0,0,IF(A21&lt;=12,('Assumptions'!$B$9+'Assumptions'!$B$10)/12,IF(A21&lt;=24,'Assumptions'!$B$11/12,'Assumptions'!$B$12/12)))</x:f>
        <x:v>41.666666666666664</x:v>
      </x:c>
      <x:c r="X21" s="93" t="n">
        <x:f>W21*U21</x:f>
        <x:v>36.69429189967667</x:v>
      </x:c>
    </x:row>
    <x:row r="22" ht="20" customHeight="1">
      <x:c r="A22" t="n">
        <x:f>'Ramp Drivers'!A21</x:f>
        <x:v>17</x:v>
      </x:c>
      <x:c r="B22" s="94" t="n">
        <x:f>'Assumptions'!$B$2*'Assumptions'!$B$3*'Assumptions'!$B$4*'Ramp Drivers'!B21</x:f>
        <x:v>3570</x:v>
      </x:c>
      <x:c r="C22" s="94" t="n">
        <x:f>IF(A22&lt;='Assumptions'!$B$28,0,INDEX($B$5:$B$41,A22-'Assumptions'!$B$28+1))</x:f>
        <x:v>3469.3045138888892</x:v>
      </x:c>
      <x:c r="D22" s="94" t="n">
        <x:f>'Assumptions'!$B$2*'Assumptions'!$B$5*A22/12</x:f>
        <x:v>212.5</x:v>
      </x:c>
      <x:c r="E22" s="94" t="n">
        <x:f>'Assumptions'!$B$7*'Assumptions'!$B$6*'Ramp Drivers'!C21</x:f>
        <x:v>371.8</x:v>
      </x:c>
      <x:c r="F22" s="94" t="n">
        <x:f>'Assumptions'!$B$8*'Assumptions'!$B$6*'Ramp Drivers'!C21</x:f>
        <x:v>135.20000000000002</x:v>
      </x:c>
      <x:c r="G22" s="93" t="n">
        <x:f>MAX(0,B22-D22-E22-F22)</x:f>
        <x:v>2850.5</x:v>
      </x:c>
      <x:c r="H22" s="93" t="n">
        <x:f>MAX(0,C22-D22-E22-F22)</x:f>
        <x:v>2749.8045138888892</x:v>
      </x:c>
      <x:c r="I22" s="93" t="n">
        <x:f>MAX(0,B22-D22-E22)</x:f>
        <x:v>2985.7</x:v>
      </x:c>
      <x:c r="J22" s="93" t="n">
        <x:f>MAX(0,C22-D22-E22)</x:f>
        <x:v>2885.004513888889</x:v>
      </x:c>
      <x:c r="K22" s="93" t="n">
        <x:f>MAX(0,'Ramp Drivers'!D21-D22-'Ramp Drivers'!E21)</x:f>
        <x:v>2850.5</x:v>
      </x:c>
      <x:c r="L22" s="93" t="n">
        <x:f>G22-K22</x:f>
        <x:v>0</x:v>
      </x:c>
      <x:c r="M22" s="93" t="n">
        <x:f>IF(A22&lt;'Assumptions'!$B$18,0,INDEX($E$5:$E$41,A22-'Assumptions'!$B$18+1))</x:f>
        <x:v>28.599999999999998</x:v>
      </x:c>
      <x:c r="N22" s="93" t="n">
        <x:f>IF(A22&lt;'Assumptions'!$B$18,0,INDEX($F$5:$F$41,A22-'Assumptions'!$B$18+1))</x:f>
        <x:v>10.4</x:v>
      </x:c>
      <x:c r="O22" s="93" t="n">
        <x:f>MAX(0,B22-D22-M22-N22)</x:f>
        <x:v>3318.5</x:v>
      </x:c>
      <x:c r="P22" s="93" t="n">
        <x:f>O22-G22</x:f>
        <x:v>468</x:v>
      </x:c>
      <x:c r="Q22" s="93" t="n">
        <x:f>E22-M22</x:f>
        <x:v>343.2</x:v>
      </x:c>
      <x:c r="R22" s="93" t="n">
        <x:f>F22-N22</x:f>
        <x:v>124.80000000000001</x:v>
      </x:c>
      <x:c r="S22" s="93" t="n">
        <x:f>F22*'Assumptions'!$B$13*'Assumptions'!$B$29</x:f>
        <x:v>811.2</x:v>
      </x:c>
      <x:c r="T22" s="93" t="n">
        <x:f>R22*'Assumptions'!$B$13*'Assumptions'!$B$29</x:f>
        <x:v>748.8000000000001</x:v>
      </x:c>
      <x:c r="U22" s="93" t="n">
        <x:f>1/(1+'Assumptions'!$B$17)^(A22/12)</x:f>
        <x:v>0.873696030750857</x:v>
      </x:c>
      <x:c r="V22" s="93" t="n">
        <x:f>S22*U22</x:f>
        <x:v>708.7422201450952</x:v>
      </x:c>
      <x:c r="W22" s="93" t="n">
        <x:f>IF(A22=0,0,IF(A22&lt;=12,('Assumptions'!$B$9+'Assumptions'!$B$10)/12,IF(A22&lt;=24,'Assumptions'!$B$11/12,'Assumptions'!$B$12/12)))</x:f>
        <x:v>41.666666666666664</x:v>
      </x:c>
      <x:c r="X22" s="93" t="n">
        <x:f>W22*U22</x:f>
        <x:v>36.40400128128571</x:v>
      </x:c>
    </x:row>
    <x:row r="23" ht="20" customHeight="1">
      <x:c r="A23" t="n">
        <x:f>'Ramp Drivers'!A22</x:f>
        <x:v>18</x:v>
      </x:c>
      <x:c r="B23" s="94" t="n">
        <x:f>'Assumptions'!$B$2*'Assumptions'!$B$3*'Assumptions'!$B$4*'Ramp Drivers'!B22</x:f>
        <x:v>3570</x:v>
      </x:c>
      <x:c r="C23" s="94" t="n">
        <x:f>IF(A23&lt;='Assumptions'!$B$28,0,INDEX($B$5:$B$41,A23-'Assumptions'!$B$28+1))</x:f>
        <x:v>3534.423958333333</x:v>
      </x:c>
      <x:c r="D23" s="94" t="n">
        <x:f>'Assumptions'!$B$2*'Assumptions'!$B$5*A23/12</x:f>
        <x:v>225</x:v>
      </x:c>
      <x:c r="E23" s="94" t="n">
        <x:f>'Assumptions'!$B$7*'Assumptions'!$B$6*'Ramp Drivers'!C22</x:f>
        <x:v>400.40000000000003</x:v>
      </x:c>
      <x:c r="F23" s="94" t="n">
        <x:f>'Assumptions'!$B$8*'Assumptions'!$B$6*'Ramp Drivers'!C22</x:f>
        <x:v>145.6</x:v>
      </x:c>
      <x:c r="G23" s="93" t="n">
        <x:f>MAX(0,B23-D23-E23-F23)</x:f>
        <x:v>2799</x:v>
      </x:c>
      <x:c r="H23" s="93" t="n">
        <x:f>MAX(0,C23-D23-E23-F23)</x:f>
        <x:v>2763.423958333333</x:v>
      </x:c>
      <x:c r="I23" s="93" t="n">
        <x:f>MAX(0,B23-D23-E23)</x:f>
        <x:v>2944.6</x:v>
      </x:c>
      <x:c r="J23" s="93" t="n">
        <x:f>MAX(0,C23-D23-E23)</x:f>
        <x:v>2909.0239583333328</x:v>
      </x:c>
      <x:c r="K23" s="93" t="n">
        <x:f>MAX(0,'Ramp Drivers'!D22-D23-'Ramp Drivers'!E22)</x:f>
        <x:v>2799</x:v>
      </x:c>
      <x:c r="L23" s="93" t="n">
        <x:f>G23-K23</x:f>
        <x:v>0</x:v>
      </x:c>
      <x:c r="M23" s="93" t="n">
        <x:f>IF(A23&lt;'Assumptions'!$B$18,0,INDEX($E$5:$E$41,A23-'Assumptions'!$B$18+1))</x:f>
        <x:v>57.199999999999996</x:v>
      </x:c>
      <x:c r="N23" s="93" t="n">
        <x:f>IF(A23&lt;'Assumptions'!$B$18,0,INDEX($F$5:$F$41,A23-'Assumptions'!$B$18+1))</x:f>
        <x:v>20.8</x:v>
      </x:c>
      <x:c r="O23" s="93" t="n">
        <x:f>MAX(0,B23-D23-M23-N23)</x:f>
        <x:v>3267</x:v>
      </x:c>
      <x:c r="P23" s="93" t="n">
        <x:f>O23-G23</x:f>
        <x:v>468</x:v>
      </x:c>
      <x:c r="Q23" s="93" t="n">
        <x:f>E23-M23</x:f>
        <x:v>343.20000000000005</x:v>
      </x:c>
      <x:c r="R23" s="93" t="n">
        <x:f>F23-N23</x:f>
        <x:v>124.8</x:v>
      </x:c>
      <x:c r="S23" s="93" t="n">
        <x:f>F23*'Assumptions'!$B$13*'Assumptions'!$B$29</x:f>
        <x:v>873.5999999999999</x:v>
      </x:c>
      <x:c r="T23" s="93" t="n">
        <x:f>R23*'Assumptions'!$B$13*'Assumptions'!$B$29</x:f>
        <x:v>748.8</x:v>
      </x:c>
      <x:c r="U23" s="93" t="n">
        <x:f>1/(1+'Assumptions'!$B$17)^(A23/12)</x:f>
        <x:v>0.8667841720414474</x:v>
      </x:c>
      <x:c r="V23" s="93" t="n">
        <x:f>S23*U23</x:f>
        <x:v>757.2226526954084</x:v>
      </x:c>
      <x:c r="W23" s="93" t="n">
        <x:f>IF(A23=0,0,IF(A23&lt;=12,('Assumptions'!$B$9+'Assumptions'!$B$10)/12,IF(A23&lt;=24,'Assumptions'!$B$11/12,'Assumptions'!$B$12/12)))</x:f>
        <x:v>41.666666666666664</x:v>
      </x:c>
      <x:c r="X23" s="93" t="n">
        <x:f>W23*U23</x:f>
        <x:v>36.116007168393644</x:v>
      </x:c>
    </x:row>
    <x:row r="24" ht="20" customHeight="1">
      <x:c r="A24" t="n">
        <x:f>'Ramp Drivers'!A23</x:f>
        <x:v>19</x:v>
      </x:c>
      <x:c r="B24" s="94" t="n">
        <x:f>'Assumptions'!$B$2*'Assumptions'!$B$3*'Assumptions'!$B$4*'Ramp Drivers'!B23</x:f>
        <x:v>3570</x:v>
      </x:c>
      <x:c r="C24" s="94" t="n">
        <x:f>IF(A24&lt;='Assumptions'!$B$28,0,INDEX($B$5:$B$41,A24-'Assumptions'!$B$28+1))</x:f>
        <x:v>3562.9756944444443</x:v>
      </x:c>
      <x:c r="D24" s="94" t="n">
        <x:f>'Assumptions'!$B$2*'Assumptions'!$B$5*A24/12</x:f>
        <x:v>237.5</x:v>
      </x:c>
      <x:c r="E24" s="94" t="n">
        <x:f>'Assumptions'!$B$7*'Assumptions'!$B$6*'Ramp Drivers'!C23</x:f>
        <x:v>429</x:v>
      </x:c>
      <x:c r="F24" s="94" t="n">
        <x:f>'Assumptions'!$B$8*'Assumptions'!$B$6*'Ramp Drivers'!C23</x:f>
        <x:v>156</x:v>
      </x:c>
      <x:c r="G24" s="93" t="n">
        <x:f>MAX(0,B24-D24-E24-F24)</x:f>
        <x:v>2747.5</x:v>
      </x:c>
      <x:c r="H24" s="93" t="n">
        <x:f>MAX(0,C24-D24-E24-F24)</x:f>
        <x:v>2740.4756944444443</x:v>
      </x:c>
      <x:c r="I24" s="93" t="n">
        <x:f>MAX(0,B24-D24-E24)</x:f>
        <x:v>2903.5</x:v>
      </x:c>
      <x:c r="J24" s="93" t="n">
        <x:f>MAX(0,C24-D24-E24)</x:f>
        <x:v>2896.4756944444443</x:v>
      </x:c>
      <x:c r="K24" s="93" t="n">
        <x:f>MAX(0,'Ramp Drivers'!D23-D24-'Ramp Drivers'!E23)</x:f>
        <x:v>2747.5</x:v>
      </x:c>
      <x:c r="L24" s="93" t="n">
        <x:f>G24-K24</x:f>
        <x:v>0</x:v>
      </x:c>
      <x:c r="M24" s="93" t="n">
        <x:f>IF(A24&lt;'Assumptions'!$B$18,0,INDEX($E$5:$E$41,A24-'Assumptions'!$B$18+1))</x:f>
        <x:v>85.80000000000001</x:v>
      </x:c>
      <x:c r="N24" s="93" t="n">
        <x:f>IF(A24&lt;'Assumptions'!$B$18,0,INDEX($F$5:$F$41,A24-'Assumptions'!$B$18+1))</x:f>
        <x:v>31.200000000000003</x:v>
      </x:c>
      <x:c r="O24" s="93" t="n">
        <x:f>MAX(0,B24-D24-M24-N24)</x:f>
        <x:v>3215.5</x:v>
      </x:c>
      <x:c r="P24" s="93" t="n">
        <x:f>O24-G24</x:f>
        <x:v>468</x:v>
      </x:c>
      <x:c r="Q24" s="93" t="n">
        <x:f>E24-M24</x:f>
        <x:v>343.2</x:v>
      </x:c>
      <x:c r="R24" s="93" t="n">
        <x:f>F24-N24</x:f>
        <x:v>124.8</x:v>
      </x:c>
      <x:c r="S24" s="93" t="n">
        <x:f>F24*'Assumptions'!$B$13*'Assumptions'!$B$29</x:f>
        <x:v>936</x:v>
      </x:c>
      <x:c r="T24" s="93" t="n">
        <x:f>R24*'Assumptions'!$B$13*'Assumptions'!$B$29</x:f>
        <x:v>748.8</x:v>
      </x:c>
      <x:c r="U24" s="93" t="n">
        <x:f>1/(1+'Assumptions'!$B$17)^(A24/12)</x:f>
        <x:v>0.8599269934371744</x:v>
      </x:c>
      <x:c r="V24" s="93" t="n">
        <x:f>S24*U24</x:f>
        <x:v>804.8916658571952</x:v>
      </x:c>
      <x:c r="W24" s="93" t="n">
        <x:f>IF(A24=0,0,IF(A24&lt;=12,('Assumptions'!$B$9+'Assumptions'!$B$10)/12,IF(A24&lt;=24,'Assumptions'!$B$11/12,'Assumptions'!$B$12/12)))</x:f>
        <x:v>41.666666666666664</x:v>
      </x:c>
      <x:c r="X24" s="93" t="n">
        <x:f>W24*U24</x:f>
        <x:v>35.830291393215596</x:v>
      </x:c>
    </x:row>
    <x:row r="25" ht="20" customHeight="1">
      <x:c r="A25" t="n">
        <x:f>'Ramp Drivers'!A24</x:f>
        <x:v>20</x:v>
      </x:c>
      <x:c r="B25" s="94" t="n">
        <x:f>'Assumptions'!$B$2*'Assumptions'!$B$3*'Assumptions'!$B$4*'Ramp Drivers'!B24</x:f>
        <x:v>3570</x:v>
      </x:c>
      <x:c r="C25" s="94" t="n">
        <x:f>IF(A25&lt;='Assumptions'!$B$28,0,INDEX($B$5:$B$41,A25-'Assumptions'!$B$28+1))</x:f>
        <x:v>3570</x:v>
      </x:c>
      <x:c r="D25" s="94" t="n">
        <x:f>'Assumptions'!$B$2*'Assumptions'!$B$5*A25/12</x:f>
        <x:v>250</x:v>
      </x:c>
      <x:c r="E25" s="94" t="n">
        <x:f>'Assumptions'!$B$7*'Assumptions'!$B$6*'Ramp Drivers'!C24</x:f>
        <x:v>429</x:v>
      </x:c>
      <x:c r="F25" s="94" t="n">
        <x:f>'Assumptions'!$B$8*'Assumptions'!$B$6*'Ramp Drivers'!C24</x:f>
        <x:v>156</x:v>
      </x:c>
      <x:c r="G25" s="93" t="n">
        <x:f>MAX(0,B25-D25-E25-F25)</x:f>
        <x:v>2735</x:v>
      </x:c>
      <x:c r="H25" s="93" t="n">
        <x:f>MAX(0,C25-D25-E25-F25)</x:f>
        <x:v>2735</x:v>
      </x:c>
      <x:c r="I25" s="93" t="n">
        <x:f>MAX(0,B25-D25-E25)</x:f>
        <x:v>2891</x:v>
      </x:c>
      <x:c r="J25" s="93" t="n">
        <x:f>MAX(0,C25-D25-E25)</x:f>
        <x:v>2891</x:v>
      </x:c>
      <x:c r="K25" s="93" t="n">
        <x:f>MAX(0,'Ramp Drivers'!D24-D25-'Ramp Drivers'!E24)</x:f>
        <x:v>2735</x:v>
      </x:c>
      <x:c r="L25" s="93" t="n">
        <x:f>G25-K25</x:f>
        <x:v>0</x:v>
      </x:c>
      <x:c r="M25" s="93" t="n">
        <x:f>IF(A25&lt;'Assumptions'!$B$18,0,INDEX($E$5:$E$41,A25-'Assumptions'!$B$18+1))</x:f>
        <x:v>114.39999999999999</x:v>
      </x:c>
      <x:c r="N25" s="93" t="n">
        <x:f>IF(A25&lt;'Assumptions'!$B$18,0,INDEX($F$5:$F$41,A25-'Assumptions'!$B$18+1))</x:f>
        <x:v>41.6</x:v>
      </x:c>
      <x:c r="O25" s="93" t="n">
        <x:f>MAX(0,B25-D25-M25-N25)</x:f>
        <x:v>3164</x:v>
      </x:c>
      <x:c r="P25" s="93" t="n">
        <x:f>O25-G25</x:f>
        <x:v>429</x:v>
      </x:c>
      <x:c r="Q25" s="93" t="n">
        <x:f>E25-M25</x:f>
        <x:v>314.6</x:v>
      </x:c>
      <x:c r="R25" s="93" t="n">
        <x:f>F25-N25</x:f>
        <x:v>114.4</x:v>
      </x:c>
      <x:c r="S25" s="93" t="n">
        <x:f>F25*'Assumptions'!$B$13*'Assumptions'!$B$29</x:f>
        <x:v>936</x:v>
      </x:c>
      <x:c r="T25" s="93" t="n">
        <x:f>R25*'Assumptions'!$B$13*'Assumptions'!$B$29</x:f>
        <x:v>686.4000000000001</x:v>
      </x:c>
      <x:c r="U25" s="93" t="n">
        <x:f>1/(1+'Assumptions'!$B$17)^(A25/12)</x:f>
        <x:v>0.853124062360634</x:v>
      </x:c>
      <x:c r="V25" s="93" t="n">
        <x:f>S25*U25</x:f>
        <x:v>798.5241223695534</x:v>
      </x:c>
      <x:c r="W25" s="93" t="n">
        <x:f>IF(A25=0,0,IF(A25&lt;=12,('Assumptions'!$B$9+'Assumptions'!$B$10)/12,IF(A25&lt;=24,'Assumptions'!$B$11/12,'Assumptions'!$B$12/12)))</x:f>
        <x:v>41.666666666666664</x:v>
      </x:c>
      <x:c r="X25" s="93" t="n">
        <x:f>W25*U25</x:f>
        <x:v>35.54683593169308</x:v>
      </x:c>
    </x:row>
    <x:row r="26" ht="20" customHeight="1">
      <x:c r="A26" t="n">
        <x:f>'Ramp Drivers'!A25</x:f>
        <x:v>21</x:v>
      </x:c>
      <x:c r="B26" s="94" t="n">
        <x:f>'Assumptions'!$B$2*'Assumptions'!$B$3*'Assumptions'!$B$4*'Ramp Drivers'!B25</x:f>
        <x:v>3570</x:v>
      </x:c>
      <x:c r="C26" s="94" t="n">
        <x:f>IF(A26&lt;='Assumptions'!$B$28,0,INDEX($B$5:$B$41,A26-'Assumptions'!$B$28+1))</x:f>
        <x:v>3570</x:v>
      </x:c>
      <x:c r="D26" s="94" t="n">
        <x:f>'Assumptions'!$B$2*'Assumptions'!$B$5*A26/12</x:f>
        <x:v>262.5</x:v>
      </x:c>
      <x:c r="E26" s="94" t="n">
        <x:f>'Assumptions'!$B$7*'Assumptions'!$B$6*'Ramp Drivers'!C25</x:f>
        <x:v>429</x:v>
      </x:c>
      <x:c r="F26" s="94" t="n">
        <x:f>'Assumptions'!$B$8*'Assumptions'!$B$6*'Ramp Drivers'!C25</x:f>
        <x:v>156</x:v>
      </x:c>
      <x:c r="G26" s="93" t="n">
        <x:f>MAX(0,B26-D26-E26-F26)</x:f>
        <x:v>2722.5</x:v>
      </x:c>
      <x:c r="H26" s="93" t="n">
        <x:f>MAX(0,C26-D26-E26-F26)</x:f>
        <x:v>2722.5</x:v>
      </x:c>
      <x:c r="I26" s="93" t="n">
        <x:f>MAX(0,B26-D26-E26)</x:f>
        <x:v>2878.5</x:v>
      </x:c>
      <x:c r="J26" s="93" t="n">
        <x:f>MAX(0,C26-D26-E26)</x:f>
        <x:v>2878.5</x:v>
      </x:c>
      <x:c r="K26" s="93" t="n">
        <x:f>MAX(0,'Ramp Drivers'!D25-D26-'Ramp Drivers'!E25)</x:f>
        <x:v>2722.5</x:v>
      </x:c>
      <x:c r="L26" s="93" t="n">
        <x:f>G26-K26</x:f>
        <x:v>0</x:v>
      </x:c>
      <x:c r="M26" s="93" t="n">
        <x:f>IF(A26&lt;'Assumptions'!$B$18,0,INDEX($E$5:$E$41,A26-'Assumptions'!$B$18+1))</x:f>
        <x:v>143</x:v>
      </x:c>
      <x:c r="N26" s="93" t="n">
        <x:f>IF(A26&lt;'Assumptions'!$B$18,0,INDEX($F$5:$F$41,A26-'Assumptions'!$B$18+1))</x:f>
        <x:v>52</x:v>
      </x:c>
      <x:c r="O26" s="93" t="n">
        <x:f>MAX(0,B26-D26-M26-N26)</x:f>
        <x:v>3112.5</x:v>
      </x:c>
      <x:c r="P26" s="93" t="n">
        <x:f>O26-G26</x:f>
        <x:v>390</x:v>
      </x:c>
      <x:c r="Q26" s="93" t="n">
        <x:f>E26-M26</x:f>
        <x:v>286</x:v>
      </x:c>
      <x:c r="R26" s="93" t="n">
        <x:f>F26-N26</x:f>
        <x:v>104</x:v>
      </x:c>
      <x:c r="S26" s="93" t="n">
        <x:f>F26*'Assumptions'!$B$13*'Assumptions'!$B$29</x:f>
        <x:v>936</x:v>
      </x:c>
      <x:c r="T26" s="93" t="n">
        <x:f>R26*'Assumptions'!$B$13*'Assumptions'!$B$29</x:f>
        <x:v>624</x:v>
      </x:c>
      <x:c r="U26" s="93" t="n">
        <x:f>1/(1+'Assumptions'!$B$17)^(A26/12)</x:f>
        <x:v>0.8463749496565661</x:v>
      </x:c>
      <x:c r="V26" s="93" t="n">
        <x:f>S26*U26</x:f>
        <x:v>792.2069528785458</x:v>
      </x:c>
      <x:c r="W26" s="93" t="n">
        <x:f>IF(A26=0,0,IF(A26&lt;=12,('Assumptions'!$B$9+'Assumptions'!$B$10)/12,IF(A26&lt;=24,'Assumptions'!$B$11/12,'Assumptions'!$B$12/12)))</x:f>
        <x:v>41.666666666666664</x:v>
      </x:c>
      <x:c r="X26" s="93" t="n">
        <x:f>W26*U26</x:f>
        <x:v>35.26562290235692</x:v>
      </x:c>
    </x:row>
    <x:row r="27" ht="20" customHeight="1">
      <x:c r="A27" t="n">
        <x:f>'Ramp Drivers'!A26</x:f>
        <x:v>22</x:v>
      </x:c>
      <x:c r="B27" s="94" t="n">
        <x:f>'Assumptions'!$B$2*'Assumptions'!$B$3*'Assumptions'!$B$4*'Ramp Drivers'!B26</x:f>
        <x:v>3570</x:v>
      </x:c>
      <x:c r="C27" s="94" t="n">
        <x:f>IF(A27&lt;='Assumptions'!$B$28,0,INDEX($B$5:$B$41,A27-'Assumptions'!$B$28+1))</x:f>
        <x:v>3570</x:v>
      </x:c>
      <x:c r="D27" s="94" t="n">
        <x:f>'Assumptions'!$B$2*'Assumptions'!$B$5*A27/12</x:f>
        <x:v>275</x:v>
      </x:c>
      <x:c r="E27" s="94" t="n">
        <x:f>'Assumptions'!$B$7*'Assumptions'!$B$6*'Ramp Drivers'!C26</x:f>
        <x:v>429</x:v>
      </x:c>
      <x:c r="F27" s="94" t="n">
        <x:f>'Assumptions'!$B$8*'Assumptions'!$B$6*'Ramp Drivers'!C26</x:f>
        <x:v>156</x:v>
      </x:c>
      <x:c r="G27" s="93" t="n">
        <x:f>MAX(0,B27-D27-E27-F27)</x:f>
        <x:v>2710</x:v>
      </x:c>
      <x:c r="H27" s="93" t="n">
        <x:f>MAX(0,C27-D27-E27-F27)</x:f>
        <x:v>2710</x:v>
      </x:c>
      <x:c r="I27" s="93" t="n">
        <x:f>MAX(0,B27-D27-E27)</x:f>
        <x:v>2866</x:v>
      </x:c>
      <x:c r="J27" s="93" t="n">
        <x:f>MAX(0,C27-D27-E27)</x:f>
        <x:v>2866</x:v>
      </x:c>
      <x:c r="K27" s="93" t="n">
        <x:f>MAX(0,'Ramp Drivers'!D26-D27-'Ramp Drivers'!E26)</x:f>
        <x:v>2710</x:v>
      </x:c>
      <x:c r="L27" s="93" t="n">
        <x:f>G27-K27</x:f>
        <x:v>0</x:v>
      </x:c>
      <x:c r="M27" s="93" t="n">
        <x:f>IF(A27&lt;'Assumptions'!$B$18,0,INDEX($E$5:$E$41,A27-'Assumptions'!$B$18+1))</x:f>
        <x:v>171.60000000000002</x:v>
      </x:c>
      <x:c r="N27" s="93" t="n">
        <x:f>IF(A27&lt;'Assumptions'!$B$18,0,INDEX($F$5:$F$41,A27-'Assumptions'!$B$18+1))</x:f>
        <x:v>62.400000000000006</x:v>
      </x:c>
      <x:c r="O27" s="93" t="n">
        <x:f>MAX(0,B27-D27-M27-N27)</x:f>
        <x:v>3061</x:v>
      </x:c>
      <x:c r="P27" s="93" t="n">
        <x:f>O27-G27</x:f>
        <x:v>351</x:v>
      </x:c>
      <x:c r="Q27" s="93" t="n">
        <x:f>E27-M27</x:f>
        <x:v>257.4</x:v>
      </x:c>
      <x:c r="R27" s="93" t="n">
        <x:f>F27-N27</x:f>
        <x:v>93.6</x:v>
      </x:c>
      <x:c r="S27" s="93" t="n">
        <x:f>F27*'Assumptions'!$B$13*'Assumptions'!$B$29</x:f>
        <x:v>936</x:v>
      </x:c>
      <x:c r="T27" s="93" t="n">
        <x:f>R27*'Assumptions'!$B$13*'Assumptions'!$B$29</x:f>
        <x:v>561.5999999999999</x:v>
      </x:c>
      <x:c r="U27" s="93" t="n">
        <x:f>1/(1+'Assumptions'!$B$17)^(A27/12)</x:f>
        <x:v>0.8396792295647828</x:v>
      </x:c>
      <x:c r="V27" s="93" t="n">
        <x:f>S27*U27</x:f>
        <x:v>785.9397588726367</x:v>
      </x:c>
      <x:c r="W27" s="93" t="n">
        <x:f>IF(A27=0,0,IF(A27&lt;=12,('Assumptions'!$B$9+'Assumptions'!$B$10)/12,IF(A27&lt;=24,'Assumptions'!$B$11/12,'Assumptions'!$B$12/12)))</x:f>
        <x:v>41.666666666666664</x:v>
      </x:c>
      <x:c r="X27" s="93" t="n">
        <x:f>W27*U27</x:f>
        <x:v>34.98663456519928</x:v>
      </x:c>
    </x:row>
    <x:row r="28" ht="20" customHeight="1">
      <x:c r="A28" t="n">
        <x:f>'Ramp Drivers'!A27</x:f>
        <x:v>23</x:v>
      </x:c>
      <x:c r="B28" s="94" t="n">
        <x:f>'Assumptions'!$B$2*'Assumptions'!$B$3*'Assumptions'!$B$4*'Ramp Drivers'!B27</x:f>
        <x:v>3570</x:v>
      </x:c>
      <x:c r="C28" s="94" t="n">
        <x:f>IF(A28&lt;='Assumptions'!$B$28,0,INDEX($B$5:$B$41,A28-'Assumptions'!$B$28+1))</x:f>
        <x:v>3570</x:v>
      </x:c>
      <x:c r="D28" s="94" t="n">
        <x:f>'Assumptions'!$B$2*'Assumptions'!$B$5*A28/12</x:f>
        <x:v>287.5</x:v>
      </x:c>
      <x:c r="E28" s="94" t="n">
        <x:f>'Assumptions'!$B$7*'Assumptions'!$B$6*'Ramp Drivers'!C27</x:f>
        <x:v>429</x:v>
      </x:c>
      <x:c r="F28" s="94" t="n">
        <x:f>'Assumptions'!$B$8*'Assumptions'!$B$6*'Ramp Drivers'!C27</x:f>
        <x:v>156</x:v>
      </x:c>
      <x:c r="G28" s="93" t="n">
        <x:f>MAX(0,B28-D28-E28-F28)</x:f>
        <x:v>2697.5</x:v>
      </x:c>
      <x:c r="H28" s="93" t="n">
        <x:f>MAX(0,C28-D28-E28-F28)</x:f>
        <x:v>2697.5</x:v>
      </x:c>
      <x:c r="I28" s="93" t="n">
        <x:f>MAX(0,B28-D28-E28)</x:f>
        <x:v>2853.5</x:v>
      </x:c>
      <x:c r="J28" s="93" t="n">
        <x:f>MAX(0,C28-D28-E28)</x:f>
        <x:v>2853.5</x:v>
      </x:c>
      <x:c r="K28" s="93" t="n">
        <x:f>MAX(0,'Ramp Drivers'!D27-D28-'Ramp Drivers'!E27)</x:f>
        <x:v>2697.5</x:v>
      </x:c>
      <x:c r="L28" s="93" t="n">
        <x:f>G28-K28</x:f>
        <x:v>0</x:v>
      </x:c>
      <x:c r="M28" s="93" t="n">
        <x:f>IF(A28&lt;'Assumptions'!$B$18,0,INDEX($E$5:$E$41,A28-'Assumptions'!$B$18+1))</x:f>
        <x:v>200.20000000000002</x:v>
      </x:c>
      <x:c r="N28" s="93" t="n">
        <x:f>IF(A28&lt;'Assumptions'!$B$18,0,INDEX($F$5:$F$41,A28-'Assumptions'!$B$18+1))</x:f>
        <x:v>72.8</x:v>
      </x:c>
      <x:c r="O28" s="93" t="n">
        <x:f>MAX(0,B28-D28-M28-N28)</x:f>
        <x:v>3009.5</x:v>
      </x:c>
      <x:c r="P28" s="93" t="n">
        <x:f>O28-G28</x:f>
        <x:v>312</x:v>
      </x:c>
      <x:c r="Q28" s="93" t="n">
        <x:f>E28-M28</x:f>
        <x:v>228.79999999999998</x:v>
      </x:c>
      <x:c r="R28" s="93" t="n">
        <x:f>F28-N28</x:f>
        <x:v>83.2</x:v>
      </x:c>
      <x:c r="S28" s="93" t="n">
        <x:f>F28*'Assumptions'!$B$13*'Assumptions'!$B$29</x:f>
        <x:v>936</x:v>
      </x:c>
      <x:c r="T28" s="93" t="n">
        <x:f>R28*'Assumptions'!$B$13*'Assumptions'!$B$29</x:f>
        <x:v>499.20000000000005</x:v>
      </x:c>
      <x:c r="U28" s="93" t="n">
        <x:f>1/(1+'Assumptions'!$B$17)^(A28/12)</x:f>
        <x:v>0.8330364796933089</x:v>
      </x:c>
      <x:c r="V28" s="93" t="n">
        <x:f>S28*U28</x:f>
        <x:v>779.722144992937</x:v>
      </x:c>
      <x:c r="W28" s="93" t="n">
        <x:f>IF(A28=0,0,IF(A28&lt;=12,('Assumptions'!$B$9+'Assumptions'!$B$10)/12,IF(A28&lt;=24,'Assumptions'!$B$11/12,'Assumptions'!$B$12/12)))</x:f>
        <x:v>41.666666666666664</x:v>
      </x:c>
      <x:c r="X28" s="93" t="n">
        <x:f>W28*U28</x:f>
        <x:v>34.70985332055454</x:v>
      </x:c>
    </x:row>
    <x:row r="29" ht="20" customHeight="1">
      <x:c r="A29" t="n">
        <x:f>'Ramp Drivers'!A28</x:f>
        <x:v>24</x:v>
      </x:c>
      <x:c r="B29" s="94" t="n">
        <x:f>'Assumptions'!$B$2*'Assumptions'!$B$3*'Assumptions'!$B$4*'Ramp Drivers'!B28</x:f>
        <x:v>3570</x:v>
      </x:c>
      <x:c r="C29" s="94" t="n">
        <x:f>IF(A29&lt;='Assumptions'!$B$28,0,INDEX($B$5:$B$41,A29-'Assumptions'!$B$28+1))</x:f>
        <x:v>3570</x:v>
      </x:c>
      <x:c r="D29" s="94" t="n">
        <x:f>'Assumptions'!$B$2*'Assumptions'!$B$5*A29/12</x:f>
        <x:v>300</x:v>
      </x:c>
      <x:c r="E29" s="94" t="n">
        <x:f>'Assumptions'!$B$7*'Assumptions'!$B$6*'Ramp Drivers'!C28</x:f>
        <x:v>429</x:v>
      </x:c>
      <x:c r="F29" s="94" t="n">
        <x:f>'Assumptions'!$B$8*'Assumptions'!$B$6*'Ramp Drivers'!C28</x:f>
        <x:v>156</x:v>
      </x:c>
      <x:c r="G29" s="93" t="n">
        <x:f>MAX(0,B29-D29-E29-F29)</x:f>
        <x:v>2685</x:v>
      </x:c>
      <x:c r="H29" s="93" t="n">
        <x:f>MAX(0,C29-D29-E29-F29)</x:f>
        <x:v>2685</x:v>
      </x:c>
      <x:c r="I29" s="93" t="n">
        <x:f>MAX(0,B29-D29-E29)</x:f>
        <x:v>2841</x:v>
      </x:c>
      <x:c r="J29" s="93" t="n">
        <x:f>MAX(0,C29-D29-E29)</x:f>
        <x:v>2841</x:v>
      </x:c>
      <x:c r="K29" s="93" t="n">
        <x:f>MAX(0,'Ramp Drivers'!D28-D29-'Ramp Drivers'!E28)</x:f>
        <x:v>2685</x:v>
      </x:c>
      <x:c r="L29" s="93" t="n">
        <x:f>G29-K29</x:f>
        <x:v>0</x:v>
      </x:c>
      <x:c r="M29" s="93" t="n">
        <x:f>IF(A29&lt;'Assumptions'!$B$18,0,INDEX($E$5:$E$41,A29-'Assumptions'!$B$18+1))</x:f>
        <x:v>228.79999999999998</x:v>
      </x:c>
      <x:c r="N29" s="93" t="n">
        <x:f>IF(A29&lt;'Assumptions'!$B$18,0,INDEX($F$5:$F$41,A29-'Assumptions'!$B$18+1))</x:f>
        <x:v>83.2</x:v>
      </x:c>
      <x:c r="O29" s="93" t="n">
        <x:f>MAX(0,B29-D29-M29-N29)</x:f>
        <x:v>2958</x:v>
      </x:c>
      <x:c r="P29" s="93" t="n">
        <x:f>O29-G29</x:f>
        <x:v>273</x:v>
      </x:c>
      <x:c r="Q29" s="93" t="n">
        <x:f>E29-M29</x:f>
        <x:v>200.20000000000002</x:v>
      </x:c>
      <x:c r="R29" s="93" t="n">
        <x:f>F29-N29</x:f>
        <x:v>72.8</x:v>
      </x:c>
      <x:c r="S29" s="93" t="n">
        <x:f>F29*'Assumptions'!$B$13*'Assumptions'!$B$29</x:f>
        <x:v>936</x:v>
      </x:c>
      <x:c r="T29" s="93" t="n">
        <x:f>R29*'Assumptions'!$B$13*'Assumptions'!$B$29</x:f>
        <x:v>436.79999999999995</x:v>
      </x:c>
      <x:c r="U29" s="93" t="n">
        <x:f>1/(1+'Assumptions'!$B$17)^(A29/12)</x:f>
        <x:v>0.8264462809917354</x:v>
      </x:c>
      <x:c r="V29" s="93" t="n">
        <x:f>S29*U29</x:f>
        <x:v>773.5537190082644</x:v>
      </x:c>
      <x:c r="W29" s="93" t="n">
        <x:f>IF(A29=0,0,IF(A29&lt;=12,('Assumptions'!$B$9+'Assumptions'!$B$10)/12,IF(A29&lt;=24,'Assumptions'!$B$11/12,'Assumptions'!$B$12/12)))</x:f>
        <x:v>41.666666666666664</x:v>
      </x:c>
      <x:c r="X29" s="93" t="n">
        <x:f>W29*U29</x:f>
        <x:v>34.43526170798898</x:v>
      </x:c>
    </x:row>
    <x:row r="30" ht="20" customHeight="1">
      <x:c r="A30" t="n">
        <x:f>'Ramp Drivers'!A29</x:f>
        <x:v>25</x:v>
      </x:c>
      <x:c r="B30" s="94" t="n">
        <x:f>'Assumptions'!$B$2*'Assumptions'!$B$3*'Assumptions'!$B$4*'Ramp Drivers'!B29</x:f>
        <x:v>3570</x:v>
      </x:c>
      <x:c r="C30" s="94" t="n">
        <x:f>IF(A30&lt;='Assumptions'!$B$28,0,INDEX($B$5:$B$41,A30-'Assumptions'!$B$28+1))</x:f>
        <x:v>3570</x:v>
      </x:c>
      <x:c r="D30" s="94" t="n">
        <x:f>'Assumptions'!$B$2*'Assumptions'!$B$5*A30/12</x:f>
        <x:v>312.5</x:v>
      </x:c>
      <x:c r="E30" s="94" t="n">
        <x:f>'Assumptions'!$B$7*'Assumptions'!$B$6*'Ramp Drivers'!C29</x:f>
        <x:v>429</x:v>
      </x:c>
      <x:c r="F30" s="94" t="n">
        <x:f>'Assumptions'!$B$8*'Assumptions'!$B$6*'Ramp Drivers'!C29</x:f>
        <x:v>156</x:v>
      </x:c>
      <x:c r="G30" s="93" t="n">
        <x:f>MAX(0,B30-D30-E30-F30)</x:f>
        <x:v>2672.5</x:v>
      </x:c>
      <x:c r="H30" s="93" t="n">
        <x:f>MAX(0,C30-D30-E30-F30)</x:f>
        <x:v>2672.5</x:v>
      </x:c>
      <x:c r="I30" s="93" t="n">
        <x:f>MAX(0,B30-D30-E30)</x:f>
        <x:v>2828.5</x:v>
      </x:c>
      <x:c r="J30" s="93" t="n">
        <x:f>MAX(0,C30-D30-E30)</x:f>
        <x:v>2828.5</x:v>
      </x:c>
      <x:c r="K30" s="93" t="n">
        <x:f>MAX(0,'Ramp Drivers'!D29-D30-'Ramp Drivers'!E29)</x:f>
        <x:v>2672.5</x:v>
      </x:c>
      <x:c r="L30" s="93" t="n">
        <x:f>G30-K30</x:f>
        <x:v>0</x:v>
      </x:c>
      <x:c r="M30" s="93" t="n">
        <x:f>IF(A30&lt;'Assumptions'!$B$18,0,INDEX($E$5:$E$41,A30-'Assumptions'!$B$18+1))</x:f>
        <x:v>257.4</x:v>
      </x:c>
      <x:c r="N30" s="93" t="n">
        <x:f>IF(A30&lt;'Assumptions'!$B$18,0,INDEX($F$5:$F$41,A30-'Assumptions'!$B$18+1))</x:f>
        <x:v>93.6</x:v>
      </x:c>
      <x:c r="O30" s="93" t="n">
        <x:f>MAX(0,B30-D30-M30-N30)</x:f>
        <x:v>2906.5</x:v>
      </x:c>
      <x:c r="P30" s="93" t="n">
        <x:f>O30-G30</x:f>
        <x:v>234</x:v>
      </x:c>
      <x:c r="Q30" s="93" t="n">
        <x:f>E30-M30</x:f>
        <x:v>171.60000000000002</x:v>
      </x:c>
      <x:c r="R30" s="93" t="n">
        <x:f>F30-N30</x:f>
        <x:v>62.400000000000006</x:v>
      </x:c>
      <x:c r="S30" s="93" t="n">
        <x:f>F30*'Assumptions'!$B$13*'Assumptions'!$B$29</x:f>
        <x:v>936</x:v>
      </x:c>
      <x:c r="T30" s="93" t="n">
        <x:f>R30*'Assumptions'!$B$13*'Assumptions'!$B$29</x:f>
        <x:v>374.40000000000003</x:v>
      </x:c>
      <x:c r="U30" s="93" t="n">
        <x:f>1/(1+'Assumptions'!$B$17)^(A30/12)</x:f>
        <x:v>0.8199082177247858</x:v>
      </x:c>
      <x:c r="V30" s="93" t="n">
        <x:f>S30*U30</x:f>
        <x:v>767.4340917903995</x:v>
      </x:c>
      <x:c r="W30" s="93" t="n">
        <x:f>IF(A30=0,0,IF(A30&lt;=12,('Assumptions'!$B$9+'Assumptions'!$B$10)/12,IF(A30&lt;=24,'Assumptions'!$B$11/12,'Assumptions'!$B$12/12)))</x:f>
        <x:v>41.666666666666664</x:v>
      </x:c>
      <x:c r="X30" s="93" t="n">
        <x:f>W30*U30</x:f>
        <x:v>34.162842405199406</x:v>
      </x:c>
    </x:row>
    <x:row r="31" ht="20" customHeight="1">
      <x:c r="A31" t="n">
        <x:f>'Ramp Drivers'!A30</x:f>
        <x:v>26</x:v>
      </x:c>
      <x:c r="B31" s="94" t="n">
        <x:f>'Assumptions'!$B$2*'Assumptions'!$B$3*'Assumptions'!$B$4*'Ramp Drivers'!B30</x:f>
        <x:v>3570</x:v>
      </x:c>
      <x:c r="C31" s="94" t="n">
        <x:f>IF(A31&lt;='Assumptions'!$B$28,0,INDEX($B$5:$B$41,A31-'Assumptions'!$B$28+1))</x:f>
        <x:v>3570</x:v>
      </x:c>
      <x:c r="D31" s="94" t="n">
        <x:f>'Assumptions'!$B$2*'Assumptions'!$B$5*A31/12</x:f>
        <x:v>325</x:v>
      </x:c>
      <x:c r="E31" s="94" t="n">
        <x:f>'Assumptions'!$B$7*'Assumptions'!$B$6*'Ramp Drivers'!C30</x:f>
        <x:v>429</x:v>
      </x:c>
      <x:c r="F31" s="94" t="n">
        <x:f>'Assumptions'!$B$8*'Assumptions'!$B$6*'Ramp Drivers'!C30</x:f>
        <x:v>156</x:v>
      </x:c>
      <x:c r="G31" s="93" t="n">
        <x:f>MAX(0,B31-D31-E31-F31)</x:f>
        <x:v>2660</x:v>
      </x:c>
      <x:c r="H31" s="93" t="n">
        <x:f>MAX(0,C31-D31-E31-F31)</x:f>
        <x:v>2660</x:v>
      </x:c>
      <x:c r="I31" s="93" t="n">
        <x:f>MAX(0,B31-D31-E31)</x:f>
        <x:v>2816</x:v>
      </x:c>
      <x:c r="J31" s="93" t="n">
        <x:f>MAX(0,C31-D31-E31)</x:f>
        <x:v>2816</x:v>
      </x:c>
      <x:c r="K31" s="93" t="n">
        <x:f>MAX(0,'Ramp Drivers'!D30-D31-'Ramp Drivers'!E30)</x:f>
        <x:v>2660</x:v>
      </x:c>
      <x:c r="L31" s="93" t="n">
        <x:f>G31-K31</x:f>
        <x:v>0</x:v>
      </x:c>
      <x:c r="M31" s="93" t="n">
        <x:f>IF(A31&lt;'Assumptions'!$B$18,0,INDEX($E$5:$E$41,A31-'Assumptions'!$B$18+1))</x:f>
        <x:v>286</x:v>
      </x:c>
      <x:c r="N31" s="93" t="n">
        <x:f>IF(A31&lt;'Assumptions'!$B$18,0,INDEX($F$5:$F$41,A31-'Assumptions'!$B$18+1))</x:f>
        <x:v>104</x:v>
      </x:c>
      <x:c r="O31" s="93" t="n">
        <x:f>MAX(0,B31-D31-M31-N31)</x:f>
        <x:v>2855</x:v>
      </x:c>
      <x:c r="P31" s="93" t="n">
        <x:f>O31-G31</x:f>
        <x:v>195</x:v>
      </x:c>
      <x:c r="Q31" s="93" t="n">
        <x:f>E31-M31</x:f>
        <x:v>143</x:v>
      </x:c>
      <x:c r="R31" s="93" t="n">
        <x:f>F31-N31</x:f>
        <x:v>52</x:v>
      </x:c>
      <x:c r="S31" s="93" t="n">
        <x:f>F31*'Assumptions'!$B$13*'Assumptions'!$B$29</x:f>
        <x:v>936</x:v>
      </x:c>
      <x:c r="T31" s="93" t="n">
        <x:f>R31*'Assumptions'!$B$13*'Assumptions'!$B$29</x:f>
        <x:v>312</x:v>
      </x:c>
      <x:c r="U31" s="93" t="n">
        <x:f>1/(1+'Assumptions'!$B$17)^(A31/12)</x:f>
        <x:v>0.8134218774460882</x:v>
      </x:c>
      <x:c r="V31" s="93" t="n">
        <x:f>S31*U31</x:f>
        <x:v>761.3628772895386</x:v>
      </x:c>
      <x:c r="W31" s="93" t="n">
        <x:f>IF(A31=0,0,IF(A31&lt;=12,('Assumptions'!$B$9+'Assumptions'!$B$10)/12,IF(A31&lt;=24,'Assumptions'!$B$11/12,'Assumptions'!$B$12/12)))</x:f>
        <x:v>41.666666666666664</x:v>
      </x:c>
      <x:c r="X31" s="93" t="n">
        <x:f>W31*U31</x:f>
        <x:v>33.89257822692034</x:v>
      </x:c>
    </x:row>
    <x:row r="32" ht="20" customHeight="1">
      <x:c r="A32" t="n">
        <x:f>'Ramp Drivers'!A31</x:f>
        <x:v>27</x:v>
      </x:c>
      <x:c r="B32" s="94" t="n">
        <x:f>'Assumptions'!$B$2*'Assumptions'!$B$3*'Assumptions'!$B$4*'Ramp Drivers'!B31</x:f>
        <x:v>3570</x:v>
      </x:c>
      <x:c r="C32" s="94" t="n">
        <x:f>IF(A32&lt;='Assumptions'!$B$28,0,INDEX($B$5:$B$41,A32-'Assumptions'!$B$28+1))</x:f>
        <x:v>3570</x:v>
      </x:c>
      <x:c r="D32" s="94" t="n">
        <x:f>'Assumptions'!$B$2*'Assumptions'!$B$5*A32/12</x:f>
        <x:v>337.5</x:v>
      </x:c>
      <x:c r="E32" s="94" t="n">
        <x:f>'Assumptions'!$B$7*'Assumptions'!$B$6*'Ramp Drivers'!C31</x:f>
        <x:v>429</x:v>
      </x:c>
      <x:c r="F32" s="94" t="n">
        <x:f>'Assumptions'!$B$8*'Assumptions'!$B$6*'Ramp Drivers'!C31</x:f>
        <x:v>156</x:v>
      </x:c>
      <x:c r="G32" s="93" t="n">
        <x:f>MAX(0,B32-D32-E32-F32)</x:f>
        <x:v>2647.5</x:v>
      </x:c>
      <x:c r="H32" s="93" t="n">
        <x:f>MAX(0,C32-D32-E32-F32)</x:f>
        <x:v>2647.5</x:v>
      </x:c>
      <x:c r="I32" s="93" t="n">
        <x:f>MAX(0,B32-D32-E32)</x:f>
        <x:v>2803.5</x:v>
      </x:c>
      <x:c r="J32" s="93" t="n">
        <x:f>MAX(0,C32-D32-E32)</x:f>
        <x:v>2803.5</x:v>
      </x:c>
      <x:c r="K32" s="93" t="n">
        <x:f>MAX(0,'Ramp Drivers'!D31-D32-'Ramp Drivers'!E31)</x:f>
        <x:v>2647.5</x:v>
      </x:c>
      <x:c r="L32" s="93" t="n">
        <x:f>G32-K32</x:f>
        <x:v>0</x:v>
      </x:c>
      <x:c r="M32" s="93" t="n">
        <x:f>IF(A32&lt;'Assumptions'!$B$18,0,INDEX($E$5:$E$41,A32-'Assumptions'!$B$18+1))</x:f>
        <x:v>314.59999999999997</x:v>
      </x:c>
      <x:c r="N32" s="93" t="n">
        <x:f>IF(A32&lt;'Assumptions'!$B$18,0,INDEX($F$5:$F$41,A32-'Assumptions'!$B$18+1))</x:f>
        <x:v>114.39999999999999</x:v>
      </x:c>
      <x:c r="O32" s="93" t="n">
        <x:f>MAX(0,B32-D32-M32-N32)</x:f>
        <x:v>2803.5</x:v>
      </x:c>
      <x:c r="P32" s="93" t="n">
        <x:f>O32-G32</x:f>
        <x:v>156</x:v>
      </x:c>
      <x:c r="Q32" s="93" t="n">
        <x:f>E32-M32</x:f>
        <x:v>114.40000000000003</x:v>
      </x:c>
      <x:c r="R32" s="93" t="n">
        <x:f>F32-N32</x:f>
        <x:v>41.60000000000001</x:v>
      </x:c>
      <x:c r="S32" s="93" t="n">
        <x:f>F32*'Assumptions'!$B$13*'Assumptions'!$B$29</x:f>
        <x:v>936</x:v>
      </x:c>
      <x:c r="T32" s="93" t="n">
        <x:f>R32*'Assumptions'!$B$13*'Assumptions'!$B$29</x:f>
        <x:v>249.60000000000005</x:v>
      </x:c>
      <x:c r="U32" s="93" t="n">
        <x:f>1/(1+'Assumptions'!$B$17)^(A32/12)</x:f>
        <x:v>0.8069868509721573</x:v>
      </x:c>
      <x:c r="V32" s="93" t="n">
        <x:f>S32*U32</x:f>
        <x:v>755.3396925099393</x:v>
      </x:c>
      <x:c r="W32" s="93" t="n">
        <x:f>IF(A32=0,0,IF(A32&lt;=12,('Assumptions'!$B$9+'Assumptions'!$B$10)/12,IF(A32&lt;=24,'Assumptions'!$B$11/12,'Assumptions'!$B$12/12)))</x:f>
        <x:v>41.666666666666664</x:v>
      </x:c>
      <x:c r="X32" s="93" t="n">
        <x:f>W32*U32</x:f>
        <x:v>33.62445212383989</x:v>
      </x:c>
    </x:row>
    <x:row r="33" ht="20" customHeight="1">
      <x:c r="A33" t="n">
        <x:f>'Ramp Drivers'!A32</x:f>
        <x:v>28</x:v>
      </x:c>
      <x:c r="B33" s="94" t="n">
        <x:f>'Assumptions'!$B$2*'Assumptions'!$B$3*'Assumptions'!$B$4*'Ramp Drivers'!B32</x:f>
        <x:v>3570</x:v>
      </x:c>
      <x:c r="C33" s="94" t="n">
        <x:f>IF(A33&lt;='Assumptions'!$B$28,0,INDEX($B$5:$B$41,A33-'Assumptions'!$B$28+1))</x:f>
        <x:v>3570</x:v>
      </x:c>
      <x:c r="D33" s="94" t="n">
        <x:f>'Assumptions'!$B$2*'Assumptions'!$B$5*A33/12</x:f>
        <x:v>350</x:v>
      </x:c>
      <x:c r="E33" s="94" t="n">
        <x:f>'Assumptions'!$B$7*'Assumptions'!$B$6*'Ramp Drivers'!C32</x:f>
        <x:v>429</x:v>
      </x:c>
      <x:c r="F33" s="94" t="n">
        <x:f>'Assumptions'!$B$8*'Assumptions'!$B$6*'Ramp Drivers'!C32</x:f>
        <x:v>156</x:v>
      </x:c>
      <x:c r="G33" s="93" t="n">
        <x:f>MAX(0,B33-D33-E33-F33)</x:f>
        <x:v>2635</x:v>
      </x:c>
      <x:c r="H33" s="93" t="n">
        <x:f>MAX(0,C33-D33-E33-F33)</x:f>
        <x:v>2635</x:v>
      </x:c>
      <x:c r="I33" s="93" t="n">
        <x:f>MAX(0,B33-D33-E33)</x:f>
        <x:v>2791</x:v>
      </x:c>
      <x:c r="J33" s="93" t="n">
        <x:f>MAX(0,C33-D33-E33)</x:f>
        <x:v>2791</x:v>
      </x:c>
      <x:c r="K33" s="93" t="n">
        <x:f>MAX(0,'Ramp Drivers'!D32-D33-'Ramp Drivers'!E32)</x:f>
        <x:v>2635</x:v>
      </x:c>
      <x:c r="L33" s="93" t="n">
        <x:f>G33-K33</x:f>
        <x:v>0</x:v>
      </x:c>
      <x:c r="M33" s="93" t="n">
        <x:f>IF(A33&lt;'Assumptions'!$B$18,0,INDEX($E$5:$E$41,A33-'Assumptions'!$B$18+1))</x:f>
        <x:v>343.20000000000005</x:v>
      </x:c>
      <x:c r="N33" s="93" t="n">
        <x:f>IF(A33&lt;'Assumptions'!$B$18,0,INDEX($F$5:$F$41,A33-'Assumptions'!$B$18+1))</x:f>
        <x:v>124.80000000000001</x:v>
      </x:c>
      <x:c r="O33" s="93" t="n">
        <x:f>MAX(0,B33-D33-M33-N33)</x:f>
        <x:v>2752</x:v>
      </x:c>
      <x:c r="P33" s="93" t="n">
        <x:f>O33-G33</x:f>
        <x:v>117</x:v>
      </x:c>
      <x:c r="Q33" s="93" t="n">
        <x:f>E33-M33</x:f>
        <x:v>85.79999999999995</x:v>
      </x:c>
      <x:c r="R33" s="93" t="n">
        <x:f>F33-N33</x:f>
        <x:v>31.19999999999999</x:v>
      </x:c>
      <x:c r="S33" s="93" t="n">
        <x:f>F33*'Assumptions'!$B$13*'Assumptions'!$B$29</x:f>
        <x:v>936</x:v>
      </x:c>
      <x:c r="T33" s="93" t="n">
        <x:f>R33*'Assumptions'!$B$13*'Assumptions'!$B$29</x:f>
        <x:v>187.19999999999993</x:v>
      </x:c>
      <x:c r="U33" s="93" t="n">
        <x:f>1/(1+'Assumptions'!$B$17)^(A33/12)</x:f>
        <x:v>0.8006027323565819</x:v>
      </x:c>
      <x:c r="V33" s="93" t="n">
        <x:f>S33*U33</x:f>
        <x:v>749.3641574857606</x:v>
      </x:c>
      <x:c r="W33" s="93" t="n">
        <x:f>IF(A33=0,0,IF(A33&lt;=12,('Assumptions'!$B$9+'Assumptions'!$B$10)/12,IF(A33&lt;=24,'Assumptions'!$B$11/12,'Assumptions'!$B$12/12)))</x:f>
        <x:v>41.666666666666664</x:v>
      </x:c>
      <x:c r="X33" s="93" t="n">
        <x:f>W33*U33</x:f>
        <x:v>33.35844718152424</x:v>
      </x:c>
    </x:row>
    <x:row r="34" ht="20" customHeight="1">
      <x:c r="A34" t="n">
        <x:f>'Ramp Drivers'!A33</x:f>
        <x:v>29</x:v>
      </x:c>
      <x:c r="B34" s="94" t="n">
        <x:f>'Assumptions'!$B$2*'Assumptions'!$B$3*'Assumptions'!$B$4*'Ramp Drivers'!B33</x:f>
        <x:v>3570</x:v>
      </x:c>
      <x:c r="C34" s="94" t="n">
        <x:f>IF(A34&lt;='Assumptions'!$B$28,0,INDEX($B$5:$B$41,A34-'Assumptions'!$B$28+1))</x:f>
        <x:v>3570</x:v>
      </x:c>
      <x:c r="D34" s="94" t="n">
        <x:f>'Assumptions'!$B$2*'Assumptions'!$B$5*A34/12</x:f>
        <x:v>362.5</x:v>
      </x:c>
      <x:c r="E34" s="94" t="n">
        <x:f>'Assumptions'!$B$7*'Assumptions'!$B$6*'Ramp Drivers'!C33</x:f>
        <x:v>429</x:v>
      </x:c>
      <x:c r="F34" s="94" t="n">
        <x:f>'Assumptions'!$B$8*'Assumptions'!$B$6*'Ramp Drivers'!C33</x:f>
        <x:v>156</x:v>
      </x:c>
      <x:c r="G34" s="93" t="n">
        <x:f>MAX(0,B34-D34-E34-F34)</x:f>
        <x:v>2622.5</x:v>
      </x:c>
      <x:c r="H34" s="93" t="n">
        <x:f>MAX(0,C34-D34-E34-F34)</x:f>
        <x:v>2622.5</x:v>
      </x:c>
      <x:c r="I34" s="93" t="n">
        <x:f>MAX(0,B34-D34-E34)</x:f>
        <x:v>2778.5</x:v>
      </x:c>
      <x:c r="J34" s="93" t="n">
        <x:f>MAX(0,C34-D34-E34)</x:f>
        <x:v>2778.5</x:v>
      </x:c>
      <x:c r="K34" s="93" t="n">
        <x:f>MAX(0,'Ramp Drivers'!D33-D34-'Ramp Drivers'!E33)</x:f>
        <x:v>2622.5</x:v>
      </x:c>
      <x:c r="L34" s="93" t="n">
        <x:f>G34-K34</x:f>
        <x:v>0</x:v>
      </x:c>
      <x:c r="M34" s="93" t="n">
        <x:f>IF(A34&lt;'Assumptions'!$B$18,0,INDEX($E$5:$E$41,A34-'Assumptions'!$B$18+1))</x:f>
        <x:v>371.8</x:v>
      </x:c>
      <x:c r="N34" s="93" t="n">
        <x:f>IF(A34&lt;'Assumptions'!$B$18,0,INDEX($F$5:$F$41,A34-'Assumptions'!$B$18+1))</x:f>
        <x:v>135.20000000000002</x:v>
      </x:c>
      <x:c r="O34" s="93" t="n">
        <x:f>MAX(0,B34-D34-M34-N34)</x:f>
        <x:v>2700.5</x:v>
      </x:c>
      <x:c r="P34" s="93" t="n">
        <x:f>O34-G34</x:f>
        <x:v>78</x:v>
      </x:c>
      <x:c r="Q34" s="93" t="n">
        <x:f>E34-M34</x:f>
        <x:v>57.19999999999999</x:v>
      </x:c>
      <x:c r="R34" s="93" t="n">
        <x:f>F34-N34</x:f>
        <x:v>20.799999999999983</x:v>
      </x:c>
      <x:c r="S34" s="93" t="n">
        <x:f>F34*'Assumptions'!$B$13*'Assumptions'!$B$29</x:f>
        <x:v>936</x:v>
      </x:c>
      <x:c r="T34" s="93" t="n">
        <x:f>R34*'Assumptions'!$B$13*'Assumptions'!$B$29</x:f>
        <x:v>124.7999999999999</x:v>
      </x:c>
      <x:c r="U34" s="93" t="n">
        <x:f>1/(1+'Assumptions'!$B$17)^(A34/12)</x:f>
        <x:v>0.7942691188644154</x:v>
      </x:c>
      <x:c r="V34" s="93" t="n">
        <x:f>S34*U34</x:f>
        <x:v>743.4358952570929</x:v>
      </x:c>
      <x:c r="W34" s="93" t="n">
        <x:f>IF(A34=0,0,IF(A34&lt;=12,('Assumptions'!$B$9+'Assumptions'!$B$10)/12,IF(A34&lt;=24,'Assumptions'!$B$11/12,'Assumptions'!$B$12/12)))</x:f>
        <x:v>41.666666666666664</x:v>
      </x:c>
      <x:c r="X34" s="93" t="n">
        <x:f>W34*U34</x:f>
        <x:v>33.09454661935064</x:v>
      </x:c>
    </x:row>
    <x:row r="35" ht="20" customHeight="1">
      <x:c r="A35" t="n">
        <x:f>'Ramp Drivers'!A34</x:f>
        <x:v>30</x:v>
      </x:c>
      <x:c r="B35" s="94" t="n">
        <x:f>'Assumptions'!$B$2*'Assumptions'!$B$3*'Assumptions'!$B$4*'Ramp Drivers'!B34</x:f>
        <x:v>3570</x:v>
      </x:c>
      <x:c r="C35" s="94" t="n">
        <x:f>IF(A35&lt;='Assumptions'!$B$28,0,INDEX($B$5:$B$41,A35-'Assumptions'!$B$28+1))</x:f>
        <x:v>3570</x:v>
      </x:c>
      <x:c r="D35" s="94" t="n">
        <x:f>'Assumptions'!$B$2*'Assumptions'!$B$5*A35/12</x:f>
        <x:v>375</x:v>
      </x:c>
      <x:c r="E35" s="94" t="n">
        <x:f>'Assumptions'!$B$7*'Assumptions'!$B$6*'Ramp Drivers'!C34</x:f>
        <x:v>429</x:v>
      </x:c>
      <x:c r="F35" s="94" t="n">
        <x:f>'Assumptions'!$B$8*'Assumptions'!$B$6*'Ramp Drivers'!C34</x:f>
        <x:v>156</x:v>
      </x:c>
      <x:c r="G35" s="93" t="n">
        <x:f>MAX(0,B35-D35-E35-F35)</x:f>
        <x:v>2610</x:v>
      </x:c>
      <x:c r="H35" s="93" t="n">
        <x:f>MAX(0,C35-D35-E35-F35)</x:f>
        <x:v>2610</x:v>
      </x:c>
      <x:c r="I35" s="93" t="n">
        <x:f>MAX(0,B35-D35-E35)</x:f>
        <x:v>2766</x:v>
      </x:c>
      <x:c r="J35" s="93" t="n">
        <x:f>MAX(0,C35-D35-E35)</x:f>
        <x:v>2766</x:v>
      </x:c>
      <x:c r="K35" s="93" t="n">
        <x:f>MAX(0,'Ramp Drivers'!D34-D35-'Ramp Drivers'!E34)</x:f>
        <x:v>2610</x:v>
      </x:c>
      <x:c r="L35" s="93" t="n">
        <x:f>G35-K35</x:f>
        <x:v>0</x:v>
      </x:c>
      <x:c r="M35" s="93" t="n">
        <x:f>IF(A35&lt;'Assumptions'!$B$18,0,INDEX($E$5:$E$41,A35-'Assumptions'!$B$18+1))</x:f>
        <x:v>400.40000000000003</x:v>
      </x:c>
      <x:c r="N35" s="93" t="n">
        <x:f>IF(A35&lt;'Assumptions'!$B$18,0,INDEX($F$5:$F$41,A35-'Assumptions'!$B$18+1))</x:f>
        <x:v>145.6</x:v>
      </x:c>
      <x:c r="O35" s="93" t="n">
        <x:f>MAX(0,B35-D35-M35-N35)</x:f>
        <x:v>2649</x:v>
      </x:c>
      <x:c r="P35" s="93" t="n">
        <x:f>O35-G35</x:f>
        <x:v>39</x:v>
      </x:c>
      <x:c r="Q35" s="93" t="n">
        <x:f>E35-M35</x:f>
        <x:v>28.599999999999966</x:v>
      </x:c>
      <x:c r="R35" s="93" t="n">
        <x:f>F35-N35</x:f>
        <x:v>10.400000000000006</x:v>
      </x:c>
      <x:c r="S35" s="93" t="n">
        <x:f>F35*'Assumptions'!$B$13*'Assumptions'!$B$29</x:f>
        <x:v>936</x:v>
      </x:c>
      <x:c r="T35" s="93" t="n">
        <x:f>R35*'Assumptions'!$B$13*'Assumptions'!$B$29</x:f>
        <x:v>62.400000000000034</x:v>
      </x:c>
      <x:c r="U35" s="93" t="n">
        <x:f>1/(1+'Assumptions'!$B$17)^(A35/12)</x:f>
        <x:v>0.7879856109467703</x:v>
      </x:c>
      <x:c r="V35" s="93" t="n">
        <x:f>S35*U35</x:f>
        <x:v>737.554531846177</x:v>
      </x:c>
      <x:c r="W35" s="93" t="n">
        <x:f>IF(A35=0,0,IF(A35&lt;=12,('Assumptions'!$B$9+'Assumptions'!$B$10)/12,IF(A35&lt;=24,'Assumptions'!$B$11/12,'Assumptions'!$B$12/12)))</x:f>
        <x:v>41.666666666666664</x:v>
      </x:c>
      <x:c r="X35" s="93" t="n">
        <x:f>W35*U35</x:f>
        <x:v>32.83273378944876</x:v>
      </x:c>
    </x:row>
    <x:row r="36" ht="20" customHeight="1">
      <x:c r="A36" t="n">
        <x:f>'Ramp Drivers'!A35</x:f>
        <x:v>31</x:v>
      </x:c>
      <x:c r="B36" s="94" t="n">
        <x:f>'Assumptions'!$B$2*'Assumptions'!$B$3*'Assumptions'!$B$4*'Ramp Drivers'!B35</x:f>
        <x:v>3570</x:v>
      </x:c>
      <x:c r="C36" s="94" t="n">
        <x:f>IF(A36&lt;='Assumptions'!$B$28,0,INDEX($B$5:$B$41,A36-'Assumptions'!$B$28+1))</x:f>
        <x:v>3570</x:v>
      </x:c>
      <x:c r="D36" s="94" t="n">
        <x:f>'Assumptions'!$B$2*'Assumptions'!$B$5*A36/12</x:f>
        <x:v>387.5</x:v>
      </x:c>
      <x:c r="E36" s="94" t="n">
        <x:f>'Assumptions'!$B$7*'Assumptions'!$B$6*'Ramp Drivers'!C35</x:f>
        <x:v>429</x:v>
      </x:c>
      <x:c r="F36" s="94" t="n">
        <x:f>'Assumptions'!$B$8*'Assumptions'!$B$6*'Ramp Drivers'!C35</x:f>
        <x:v>156</x:v>
      </x:c>
      <x:c r="G36" s="93" t="n">
        <x:f>MAX(0,B36-D36-E36-F36)</x:f>
        <x:v>2597.5</x:v>
      </x:c>
      <x:c r="H36" s="93" t="n">
        <x:f>MAX(0,C36-D36-E36-F36)</x:f>
        <x:v>2597.5</x:v>
      </x:c>
      <x:c r="I36" s="93" t="n">
        <x:f>MAX(0,B36-D36-E36)</x:f>
        <x:v>2753.5</x:v>
      </x:c>
      <x:c r="J36" s="93" t="n">
        <x:f>MAX(0,C36-D36-E36)</x:f>
        <x:v>2753.5</x:v>
      </x:c>
      <x:c r="K36" s="93" t="n">
        <x:f>MAX(0,'Ramp Drivers'!D35-D36-'Ramp Drivers'!E35)</x:f>
        <x:v>2597.5</x:v>
      </x:c>
      <x:c r="L36" s="93" t="n">
        <x:f>G36-K36</x:f>
        <x:v>0</x:v>
      </x:c>
      <x:c r="M36" s="93" t="n">
        <x:f>IF(A36&lt;'Assumptions'!$B$18,0,INDEX($E$5:$E$41,A36-'Assumptions'!$B$18+1))</x:f>
        <x:v>429</x:v>
      </x:c>
      <x:c r="N36" s="93" t="n">
        <x:f>IF(A36&lt;'Assumptions'!$B$18,0,INDEX($F$5:$F$41,A36-'Assumptions'!$B$18+1))</x:f>
        <x:v>156</x:v>
      </x:c>
      <x:c r="O36" s="93" t="n">
        <x:f>MAX(0,B36-D36-M36-N36)</x:f>
        <x:v>2597.5</x:v>
      </x:c>
      <x:c r="P36" s="93" t="n">
        <x:f>O36-G36</x:f>
        <x:v>0</x:v>
      </x:c>
      <x:c r="Q36" s="93" t="n">
        <x:f>E36-M36</x:f>
        <x:v>0</x:v>
      </x:c>
      <x:c r="R36" s="93" t="n">
        <x:f>F36-N36</x:f>
        <x:v>0</x:v>
      </x:c>
      <x:c r="S36" s="93" t="n">
        <x:f>F36*'Assumptions'!$B$13*'Assumptions'!$B$29</x:f>
        <x:v>936</x:v>
      </x:c>
      <x:c r="T36" s="93" t="n">
        <x:f>R36*'Assumptions'!$B$13*'Assumptions'!$B$29</x:f>
        <x:v>0</x:v>
      </x:c>
      <x:c r="U36" s="93" t="n">
        <x:f>1/(1+'Assumptions'!$B$17)^(A36/12)</x:f>
        <x:v>0.7817518122156131</x:v>
      </x:c>
      <x:c r="V36" s="93" t="n">
        <x:f>S36*U36</x:f>
        <x:v>731.7196962338138</x:v>
      </x:c>
      <x:c r="W36" s="93" t="n">
        <x:f>IF(A36=0,0,IF(A36&lt;=12,('Assumptions'!$B$9+'Assumptions'!$B$10)/12,IF(A36&lt;=24,'Assumptions'!$B$11/12,'Assumptions'!$B$12/12)))</x:f>
        <x:v>41.666666666666664</x:v>
      </x:c>
      <x:c r="X36" s="93" t="n">
        <x:f>W36*U36</x:f>
        <x:v>32.57299217565054</x:v>
      </x:c>
    </x:row>
    <x:row r="37" ht="20" customHeight="1">
      <x:c r="A37" t="n">
        <x:f>'Ramp Drivers'!A36</x:f>
        <x:v>32</x:v>
      </x:c>
      <x:c r="B37" s="94" t="n">
        <x:f>'Assumptions'!$B$2*'Assumptions'!$B$3*'Assumptions'!$B$4*'Ramp Drivers'!B36</x:f>
        <x:v>3570</x:v>
      </x:c>
      <x:c r="C37" s="94" t="n">
        <x:f>IF(A37&lt;='Assumptions'!$B$28,0,INDEX($B$5:$B$41,A37-'Assumptions'!$B$28+1))</x:f>
        <x:v>3570</x:v>
      </x:c>
      <x:c r="D37" s="94" t="n">
        <x:f>'Assumptions'!$B$2*'Assumptions'!$B$5*A37/12</x:f>
        <x:v>400</x:v>
      </x:c>
      <x:c r="E37" s="94" t="n">
        <x:f>'Assumptions'!$B$7*'Assumptions'!$B$6*'Ramp Drivers'!C36</x:f>
        <x:v>429</x:v>
      </x:c>
      <x:c r="F37" s="94" t="n">
        <x:f>'Assumptions'!$B$8*'Assumptions'!$B$6*'Ramp Drivers'!C36</x:f>
        <x:v>156</x:v>
      </x:c>
      <x:c r="G37" s="93" t="n">
        <x:f>MAX(0,B37-D37-E37-F37)</x:f>
        <x:v>2585</x:v>
      </x:c>
      <x:c r="H37" s="93" t="n">
        <x:f>MAX(0,C37-D37-E37-F37)</x:f>
        <x:v>2585</x:v>
      </x:c>
      <x:c r="I37" s="93" t="n">
        <x:f>MAX(0,B37-D37-E37)</x:f>
        <x:v>2741</x:v>
      </x:c>
      <x:c r="J37" s="93" t="n">
        <x:f>MAX(0,C37-D37-E37)</x:f>
        <x:v>2741</x:v>
      </x:c>
      <x:c r="K37" s="93" t="n">
        <x:f>MAX(0,'Ramp Drivers'!D36-D37-'Ramp Drivers'!E36)</x:f>
        <x:v>2585</x:v>
      </x:c>
      <x:c r="L37" s="93" t="n">
        <x:f>G37-K37</x:f>
        <x:v>0</x:v>
      </x:c>
      <x:c r="M37" s="93" t="n">
        <x:f>IF(A37&lt;'Assumptions'!$B$18,0,INDEX($E$5:$E$41,A37-'Assumptions'!$B$18+1))</x:f>
        <x:v>429</x:v>
      </x:c>
      <x:c r="N37" s="93" t="n">
        <x:f>IF(A37&lt;'Assumptions'!$B$18,0,INDEX($F$5:$F$41,A37-'Assumptions'!$B$18+1))</x:f>
        <x:v>156</x:v>
      </x:c>
      <x:c r="O37" s="93" t="n">
        <x:f>MAX(0,B37-D37-M37-N37)</x:f>
        <x:v>2585</x:v>
      </x:c>
      <x:c r="P37" s="93" t="n">
        <x:f>O37-G37</x:f>
        <x:v>0</x:v>
      </x:c>
      <x:c r="Q37" s="93" t="n">
        <x:f>E37-M37</x:f>
        <x:v>0</x:v>
      </x:c>
      <x:c r="R37" s="93" t="n">
        <x:f>F37-N37</x:f>
        <x:v>0</x:v>
      </x:c>
      <x:c r="S37" s="93" t="n">
        <x:f>F37*'Assumptions'!$B$13*'Assumptions'!$B$29</x:f>
        <x:v>936</x:v>
      </x:c>
      <x:c r="T37" s="93" t="n">
        <x:f>R37*'Assumptions'!$B$13*'Assumptions'!$B$29</x:f>
        <x:v>0</x:v>
      </x:c>
      <x:c r="U37" s="93" t="n">
        <x:f>1/(1+'Assumptions'!$B$17)^(A37/12)</x:f>
        <x:v>0.7755673294187581</x:v>
      </x:c>
      <x:c r="V37" s="93" t="n">
        <x:f>S37*U37</x:f>
        <x:v>725.9310203359576</x:v>
      </x:c>
      <x:c r="W37" s="93" t="n">
        <x:f>IF(A37=0,0,IF(A37&lt;=12,('Assumptions'!$B$9+'Assumptions'!$B$10)/12,IF(A37&lt;=24,'Assumptions'!$B$11/12,'Assumptions'!$B$12/12)))</x:f>
        <x:v>41.666666666666664</x:v>
      </x:c>
      <x:c r="X37" s="93" t="n">
        <x:f>W37*U37</x:f>
        <x:v>32.31530539244825</x:v>
      </x:c>
    </x:row>
    <x:row r="38" ht="20" customHeight="1">
      <x:c r="A38" t="n">
        <x:f>'Ramp Drivers'!A37</x:f>
        <x:v>33</x:v>
      </x:c>
      <x:c r="B38" s="94" t="n">
        <x:f>'Assumptions'!$B$2*'Assumptions'!$B$3*'Assumptions'!$B$4*'Ramp Drivers'!B37</x:f>
        <x:v>3570</x:v>
      </x:c>
      <x:c r="C38" s="94" t="n">
        <x:f>IF(A38&lt;='Assumptions'!$B$28,0,INDEX($B$5:$B$41,A38-'Assumptions'!$B$28+1))</x:f>
        <x:v>3570</x:v>
      </x:c>
      <x:c r="D38" s="94" t="n">
        <x:f>'Assumptions'!$B$2*'Assumptions'!$B$5*A38/12</x:f>
        <x:v>412.5</x:v>
      </x:c>
      <x:c r="E38" s="94" t="n">
        <x:f>'Assumptions'!$B$7*'Assumptions'!$B$6*'Ramp Drivers'!C37</x:f>
        <x:v>429</x:v>
      </x:c>
      <x:c r="F38" s="94" t="n">
        <x:f>'Assumptions'!$B$8*'Assumptions'!$B$6*'Ramp Drivers'!C37</x:f>
        <x:v>156</x:v>
      </x:c>
      <x:c r="G38" s="93" t="n">
        <x:f>MAX(0,B38-D38-E38-F38)</x:f>
        <x:v>2572.5</x:v>
      </x:c>
      <x:c r="H38" s="93" t="n">
        <x:f>MAX(0,C38-D38-E38-F38)</x:f>
        <x:v>2572.5</x:v>
      </x:c>
      <x:c r="I38" s="93" t="n">
        <x:f>MAX(0,B38-D38-E38)</x:f>
        <x:v>2728.5</x:v>
      </x:c>
      <x:c r="J38" s="93" t="n">
        <x:f>MAX(0,C38-D38-E38)</x:f>
        <x:v>2728.5</x:v>
      </x:c>
      <x:c r="K38" s="93" t="n">
        <x:f>MAX(0,'Ramp Drivers'!D37-D38-'Ramp Drivers'!E37)</x:f>
        <x:v>2572.5</x:v>
      </x:c>
      <x:c r="L38" s="93" t="n">
        <x:f>G38-K38</x:f>
        <x:v>0</x:v>
      </x:c>
      <x:c r="M38" s="93" t="n">
        <x:f>IF(A38&lt;'Assumptions'!$B$18,0,INDEX($E$5:$E$41,A38-'Assumptions'!$B$18+1))</x:f>
        <x:v>429</x:v>
      </x:c>
      <x:c r="N38" s="93" t="n">
        <x:f>IF(A38&lt;'Assumptions'!$B$18,0,INDEX($F$5:$F$41,A38-'Assumptions'!$B$18+1))</x:f>
        <x:v>156</x:v>
      </x:c>
      <x:c r="O38" s="93" t="n">
        <x:f>MAX(0,B38-D38-M38-N38)</x:f>
        <x:v>2572.5</x:v>
      </x:c>
      <x:c r="P38" s="93" t="n">
        <x:f>O38-G38</x:f>
        <x:v>0</x:v>
      </x:c>
      <x:c r="Q38" s="93" t="n">
        <x:f>E38-M38</x:f>
        <x:v>0</x:v>
      </x:c>
      <x:c r="R38" s="93" t="n">
        <x:f>F38-N38</x:f>
        <x:v>0</x:v>
      </x:c>
      <x:c r="S38" s="93" t="n">
        <x:f>F38*'Assumptions'!$B$13*'Assumptions'!$B$29</x:f>
        <x:v>936</x:v>
      </x:c>
      <x:c r="T38" s="93" t="n">
        <x:f>R38*'Assumptions'!$B$13*'Assumptions'!$B$29</x:f>
        <x:v>0</x:v>
      </x:c>
      <x:c r="U38" s="93" t="n">
        <x:f>1/(1+'Assumptions'!$B$17)^(A38/12)</x:f>
        <x:v>0.76943177241506</x:v>
      </x:c>
      <x:c r="V38" s="93" t="n">
        <x:f>S38*U38</x:f>
        <x:v>720.1881389804962</x:v>
      </x:c>
      <x:c r="W38" s="93" t="n">
        <x:f>IF(A38=0,0,IF(A38&lt;=12,('Assumptions'!$B$9+'Assumptions'!$B$10)/12,IF(A38&lt;=24,'Assumptions'!$B$11/12,'Assumptions'!$B$12/12)))</x:f>
        <x:v>41.666666666666664</x:v>
      </x:c>
      <x:c r="X38" s="93" t="n">
        <x:f>W38*U38</x:f>
        <x:v>32.05965718396083</x:v>
      </x:c>
    </x:row>
    <x:row r="39" ht="20" customHeight="1">
      <x:c r="A39" t="n">
        <x:f>'Ramp Drivers'!A38</x:f>
        <x:v>34</x:v>
      </x:c>
      <x:c r="B39" s="94" t="n">
        <x:f>'Assumptions'!$B$2*'Assumptions'!$B$3*'Assumptions'!$B$4*'Ramp Drivers'!B38</x:f>
        <x:v>3570</x:v>
      </x:c>
      <x:c r="C39" s="94" t="n">
        <x:f>IF(A39&lt;='Assumptions'!$B$28,0,INDEX($B$5:$B$41,A39-'Assumptions'!$B$28+1))</x:f>
        <x:v>3570</x:v>
      </x:c>
      <x:c r="D39" s="94" t="n">
        <x:f>'Assumptions'!$B$2*'Assumptions'!$B$5*A39/12</x:f>
        <x:v>425</x:v>
      </x:c>
      <x:c r="E39" s="94" t="n">
        <x:f>'Assumptions'!$B$7*'Assumptions'!$B$6*'Ramp Drivers'!C38</x:f>
        <x:v>429</x:v>
      </x:c>
      <x:c r="F39" s="94" t="n">
        <x:f>'Assumptions'!$B$8*'Assumptions'!$B$6*'Ramp Drivers'!C38</x:f>
        <x:v>156</x:v>
      </x:c>
      <x:c r="G39" s="93" t="n">
        <x:f>MAX(0,B39-D39-E39-F39)</x:f>
        <x:v>2560</x:v>
      </x:c>
      <x:c r="H39" s="93" t="n">
        <x:f>MAX(0,C39-D39-E39-F39)</x:f>
        <x:v>2560</x:v>
      </x:c>
      <x:c r="I39" s="93" t="n">
        <x:f>MAX(0,B39-D39-E39)</x:f>
        <x:v>2716</x:v>
      </x:c>
      <x:c r="J39" s="93" t="n">
        <x:f>MAX(0,C39-D39-E39)</x:f>
        <x:v>2716</x:v>
      </x:c>
      <x:c r="K39" s="93" t="n">
        <x:f>MAX(0,'Ramp Drivers'!D38-D39-'Ramp Drivers'!E38)</x:f>
        <x:v>2560</x:v>
      </x:c>
      <x:c r="L39" s="93" t="n">
        <x:f>G39-K39</x:f>
        <x:v>0</x:v>
      </x:c>
      <x:c r="M39" s="93" t="n">
        <x:f>IF(A39&lt;'Assumptions'!$B$18,0,INDEX($E$5:$E$41,A39-'Assumptions'!$B$18+1))</x:f>
        <x:v>429</x:v>
      </x:c>
      <x:c r="N39" s="93" t="n">
        <x:f>IF(A39&lt;'Assumptions'!$B$18,0,INDEX($F$5:$F$41,A39-'Assumptions'!$B$18+1))</x:f>
        <x:v>156</x:v>
      </x:c>
      <x:c r="O39" s="93" t="n">
        <x:f>MAX(0,B39-D39-M39-N39)</x:f>
        <x:v>2560</x:v>
      </x:c>
      <x:c r="P39" s="93" t="n">
        <x:f>O39-G39</x:f>
        <x:v>0</x:v>
      </x:c>
      <x:c r="Q39" s="93" t="n">
        <x:f>E39-M39</x:f>
        <x:v>0</x:v>
      </x:c>
      <x:c r="R39" s="93" t="n">
        <x:f>F39-N39</x:f>
        <x:v>0</x:v>
      </x:c>
      <x:c r="S39" s="93" t="n">
        <x:f>F39*'Assumptions'!$B$13*'Assumptions'!$B$29</x:f>
        <x:v>936</x:v>
      </x:c>
      <x:c r="T39" s="93" t="n">
        <x:f>R39*'Assumptions'!$B$13*'Assumptions'!$B$29</x:f>
        <x:v>0</x:v>
      </x:c>
      <x:c r="U39" s="93" t="n">
        <x:f>1/(1+'Assumptions'!$B$17)^(A39/12)</x:f>
        <x:v>0.7633447541498024</x:v>
      </x:c>
      <x:c r="V39" s="93" t="n">
        <x:f>S39*U39</x:f>
        <x:v>714.490689884215</x:v>
      </x:c>
      <x:c r="W39" s="93" t="n">
        <x:f>IF(A39=0,0,IF(A39&lt;=12,('Assumptions'!$B$9+'Assumptions'!$B$10)/12,IF(A39&lt;=24,'Assumptions'!$B$11/12,'Assumptions'!$B$12/12)))</x:f>
        <x:v>41.666666666666664</x:v>
      </x:c>
      <x:c r="X39" s="93" t="n">
        <x:f>W39*U39</x:f>
        <x:v>31.806031422908433</x:v>
      </x:c>
    </x:row>
    <x:row r="40" ht="20" customHeight="1">
      <x:c r="A40" t="n">
        <x:f>'Ramp Drivers'!A39</x:f>
        <x:v>35</x:v>
      </x:c>
      <x:c r="B40" s="94" t="n">
        <x:f>'Assumptions'!$B$2*'Assumptions'!$B$3*'Assumptions'!$B$4*'Ramp Drivers'!B39</x:f>
        <x:v>3570</x:v>
      </x:c>
      <x:c r="C40" s="94" t="n">
        <x:f>IF(A40&lt;='Assumptions'!$B$28,0,INDEX($B$5:$B$41,A40-'Assumptions'!$B$28+1))</x:f>
        <x:v>3570</x:v>
      </x:c>
      <x:c r="D40" s="94" t="n">
        <x:f>'Assumptions'!$B$2*'Assumptions'!$B$5*A40/12</x:f>
        <x:v>437.5</x:v>
      </x:c>
      <x:c r="E40" s="94" t="n">
        <x:f>'Assumptions'!$B$7*'Assumptions'!$B$6*'Ramp Drivers'!C39</x:f>
        <x:v>429</x:v>
      </x:c>
      <x:c r="F40" s="94" t="n">
        <x:f>'Assumptions'!$B$8*'Assumptions'!$B$6*'Ramp Drivers'!C39</x:f>
        <x:v>156</x:v>
      </x:c>
      <x:c r="G40" s="93" t="n">
        <x:f>MAX(0,B40-D40-E40-F40)</x:f>
        <x:v>2547.5</x:v>
      </x:c>
      <x:c r="H40" s="93" t="n">
        <x:f>MAX(0,C40-D40-E40-F40)</x:f>
        <x:v>2547.5</x:v>
      </x:c>
      <x:c r="I40" s="93" t="n">
        <x:f>MAX(0,B40-D40-E40)</x:f>
        <x:v>2703.5</x:v>
      </x:c>
      <x:c r="J40" s="93" t="n">
        <x:f>MAX(0,C40-D40-E40)</x:f>
        <x:v>2703.5</x:v>
      </x:c>
      <x:c r="K40" s="93" t="n">
        <x:f>MAX(0,'Ramp Drivers'!D39-D40-'Ramp Drivers'!E39)</x:f>
        <x:v>2547.5</x:v>
      </x:c>
      <x:c r="L40" s="93" t="n">
        <x:f>G40-K40</x:f>
        <x:v>0</x:v>
      </x:c>
      <x:c r="M40" s="93" t="n">
        <x:f>IF(A40&lt;'Assumptions'!$B$18,0,INDEX($E$5:$E$41,A40-'Assumptions'!$B$18+1))</x:f>
        <x:v>429</x:v>
      </x:c>
      <x:c r="N40" s="93" t="n">
        <x:f>IF(A40&lt;'Assumptions'!$B$18,0,INDEX($F$5:$F$41,A40-'Assumptions'!$B$18+1))</x:f>
        <x:v>156</x:v>
      </x:c>
      <x:c r="O40" s="93" t="n">
        <x:f>MAX(0,B40-D40-M40-N40)</x:f>
        <x:v>2547.5</x:v>
      </x:c>
      <x:c r="P40" s="93" t="n">
        <x:f>O40-G40</x:f>
        <x:v>0</x:v>
      </x:c>
      <x:c r="Q40" s="93" t="n">
        <x:f>E40-M40</x:f>
        <x:v>0</x:v>
      </x:c>
      <x:c r="R40" s="93" t="n">
        <x:f>F40-N40</x:f>
        <x:v>0</x:v>
      </x:c>
      <x:c r="S40" s="93" t="n">
        <x:f>F40*'Assumptions'!$B$13*'Assumptions'!$B$29</x:f>
        <x:v>936</x:v>
      </x:c>
      <x:c r="T40" s="93" t="n">
        <x:f>R40*'Assumptions'!$B$13*'Assumptions'!$B$29</x:f>
        <x:v>0</x:v>
      </x:c>
      <x:c r="U40" s="93" t="n">
        <x:f>1/(1+'Assumptions'!$B$17)^(A40/12)</x:f>
        <x:v>0.7573058906302806</x:v>
      </x:c>
      <x:c r="V40" s="93" t="n">
        <x:f>S40*U40</x:f>
        <x:v>708.8383136299427</x:v>
      </x:c>
      <x:c r="W40" s="93" t="n">
        <x:f>IF(A40=0,0,IF(A40&lt;=12,('Assumptions'!$B$9+'Assumptions'!$B$10)/12,IF(A40&lt;=24,'Assumptions'!$B$11/12,'Assumptions'!$B$12/12)))</x:f>
        <x:v>41.666666666666664</x:v>
      </x:c>
      <x:c r="X40" s="93" t="n">
        <x:f>W40*U40</x:f>
        <x:v>31.554412109595024</x:v>
      </x:c>
    </x:row>
    <x:row r="41" ht="20" customHeight="1">
      <x:c r="A41" t="n">
        <x:f>'Ramp Drivers'!A40</x:f>
        <x:v>36</x:v>
      </x:c>
      <x:c r="B41" s="94" t="n">
        <x:f>'Assumptions'!$B$2*'Assumptions'!$B$3*'Assumptions'!$B$4*'Ramp Drivers'!B40</x:f>
        <x:v>3570</x:v>
      </x:c>
      <x:c r="C41" s="94" t="n">
        <x:f>IF(A41&lt;='Assumptions'!$B$28,0,INDEX($B$5:$B$41,A41-'Assumptions'!$B$28+1))</x:f>
        <x:v>3570</x:v>
      </x:c>
      <x:c r="D41" s="94" t="n">
        <x:f>'Assumptions'!$B$2*'Assumptions'!$B$5*A41/12</x:f>
        <x:v>450</x:v>
      </x:c>
      <x:c r="E41" s="94" t="n">
        <x:f>'Assumptions'!$B$7*'Assumptions'!$B$6*'Ramp Drivers'!C40</x:f>
        <x:v>429</x:v>
      </x:c>
      <x:c r="F41" s="94" t="n">
        <x:f>'Assumptions'!$B$8*'Assumptions'!$B$6*'Ramp Drivers'!C40</x:f>
        <x:v>156</x:v>
      </x:c>
      <x:c r="G41" s="93" t="n">
        <x:f>MAX(0,B41-D41-E41-F41)</x:f>
        <x:v>2535</x:v>
      </x:c>
      <x:c r="H41" s="93" t="n">
        <x:f>MAX(0,C41-D41-E41-F41)</x:f>
        <x:v>2535</x:v>
      </x:c>
      <x:c r="I41" s="93" t="n">
        <x:f>MAX(0,B41-D41-E41)</x:f>
        <x:v>2691</x:v>
      </x:c>
      <x:c r="J41" s="93" t="n">
        <x:f>MAX(0,C41-D41-E41)</x:f>
        <x:v>2691</x:v>
      </x:c>
      <x:c r="K41" s="93" t="n">
        <x:f>MAX(0,'Ramp Drivers'!D40-D41-'Ramp Drivers'!E40)</x:f>
        <x:v>2535</x:v>
      </x:c>
      <x:c r="L41" s="93" t="n">
        <x:f>G41-K41</x:f>
        <x:v>0</x:v>
      </x:c>
      <x:c r="M41" s="93" t="n">
        <x:f>IF(A41&lt;'Assumptions'!$B$18,0,INDEX($E$5:$E$41,A41-'Assumptions'!$B$18+1))</x:f>
        <x:v>429</x:v>
      </x:c>
      <x:c r="N41" s="93" t="n">
        <x:f>IF(A41&lt;'Assumptions'!$B$18,0,INDEX($F$5:$F$41,A41-'Assumptions'!$B$18+1))</x:f>
        <x:v>156</x:v>
      </x:c>
      <x:c r="O41" s="93" t="n">
        <x:f>MAX(0,B41-D41-M41-N41)</x:f>
        <x:v>2535</x:v>
      </x:c>
      <x:c r="P41" s="93" t="n">
        <x:f>O41-G41</x:f>
        <x:v>0</x:v>
      </x:c>
      <x:c r="Q41" s="93" t="n">
        <x:f>E41-M41</x:f>
        <x:v>0</x:v>
      </x:c>
      <x:c r="R41" s="93" t="n">
        <x:f>F41-N41</x:f>
        <x:v>0</x:v>
      </x:c>
      <x:c r="S41" s="93" t="n">
        <x:f>F41*'Assumptions'!$B$13*'Assumptions'!$B$29</x:f>
        <x:v>936</x:v>
      </x:c>
      <x:c r="T41" s="93" t="n">
        <x:f>R41*'Assumptions'!$B$13*'Assumptions'!$B$29</x:f>
        <x:v>0</x:v>
      </x:c>
      <x:c r="U41" s="93" t="n">
        <x:f>1/(1+'Assumptions'!$B$17)^(A41/12)</x:f>
        <x:v>0.7513148009015775</x:v>
      </x:c>
      <x:c r="V41" s="93" t="n">
        <x:f>S41*U41</x:f>
        <x:v>703.2306536438766</x:v>
      </x:c>
      <x:c r="W41" s="93" t="n">
        <x:f>IF(A41=0,0,IF(A41&lt;=12,('Assumptions'!$B$9+'Assumptions'!$B$10)/12,IF(A41&lt;=24,'Assumptions'!$B$11/12,'Assumptions'!$B$12/12)))</x:f>
        <x:v>41.666666666666664</x:v>
      </x:c>
      <x:c r="X41" s="93" t="n">
        <x:f>W41*U41</x:f>
        <x:v>31.304783370899063</x:v>
      </x:c>
    </x:row>
  </x:sheetData>
  <x:conditionalFormatting sqref="L5:L41">
    <x:cfRule type="cellIs" dxfId="0" priority="1" operator="notEqual">
      <x:formula>0.0001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23" hidden="0" customWidth="1"/>
    <x:col min="3" max="3" width="25" hidden="0" customWidth="1"/>
    <x:col min="4" max="4" width="87" hidden="0" customWidth="1"/>
  </x:cols>
  <x:sheetData>
    <x:row r="1" ht="29" customHeight="1">
      <x:c r="A1" s="66" t="str">
        <x:v>CASH-FIRST BOARD ECONOMICS</x:v>
      </x:c>
      <x:c r="B1" s="66" t="str">
        <x:v>VALUE</x:v>
      </x:c>
      <x:c r="C1" s="66" t="str">
        <x:v>UNITS</x:v>
      </x:c>
      <x:c r="D1" s="66" t="str">
        <x:v>INTERPRETATION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4" customHeight="1">
      <x:c r="A2" s="76" t="str">
        <x:v>PROGRAMME INVESTMENT</x:v>
      </x:c>
      <x:c r="B2" s="77"/>
      <x:c r="C2" s="76"/>
      <x:c r="D2" s="76" t="str">
        <x:v>Only consulting fee of Rp3.5B comes from brief</x:v>
      </x:c>
    </x:row>
    <x:row r="3" ht="22" customHeight="1">
      <x:c r="A3" t="str">
        <x:v>Consulting fee</x:v>
      </x:c>
      <x:c r="B3" s="16" t="n">
        <x:f>'Assumptions'!B9</x:f>
        <x:v>3500</x:v>
      </x:c>
      <x:c r="C3" t="str">
        <x:v>Rp m</x:v>
      </x:c>
      <x:c r="D3" t="str">
        <x:v>Brief; fixed 12-month engagement</x:v>
      </x:c>
    </x:row>
    <x:row r="4" ht="22" customHeight="1">
      <x:c r="A4" t="str">
        <x:v>Implementation year 1</x:v>
      </x:c>
      <x:c r="B4" s="16" t="n">
        <x:f>'Assumptions'!B10</x:f>
        <x:v>1500</x:v>
      </x:c>
      <x:c r="C4" t="str">
        <x:v>Rp m</x:v>
      </x:c>
      <x:c r="D4" t="str">
        <x:v>Synthetic; may overlap separate capability adoption estimate</x:v>
      </x:c>
    </x:row>
    <x:row r="5" ht="22" customHeight="1">
      <x:c r="A5" t="str">
        <x:v>Years 2–3 support</x:v>
      </x:c>
      <x:c r="B5" s="16" t="n">
        <x:f>SUM('Assumptions'!B11:B12)</x:f>
        <x:v>1000</x:v>
      </x:c>
      <x:c r="C5" t="str">
        <x:v>Rp m</x:v>
      </x:c>
      <x:c r="D5" t="str">
        <x:v>Synthetic</x:v>
      </x:c>
    </x:row>
    <x:row r="6" ht="22" customHeight="1">
      <x:c r="A6" s="32" t="str">
        <x:v>Total programme cost 36M</x:v>
      </x:c>
      <x:c r="B6" s="33" t="n">
        <x:f>SUM(B3:B5)</x:f>
        <x:v>6000</x:v>
      </x:c>
      <x:c r="C6" s="32" t="str">
        <x:v>Rp m</x:v>
      </x:c>
      <x:c r="D6" s="32" t="str">
        <x:v>Full cost denominator</x:v>
      </x:c>
    </x:row>
    <x:row r="7" ht="22" customHeight="1">
      <x:c r="A7" t="str">
        <x:v>Fee-only threshold (vendor FTE-months)</x:v>
      </x:c>
      <x:c r="B7" s="16" t="n">
        <x:f>B3/'Assumptions'!B13</x:f>
        <x:v>583.3333333333334</x:v>
      </x:c>
      <x:c r="C7" t="str">
        <x:v>FTE-months</x:v>
      </x:c>
      <x:c r="D7" t="str">
        <x:v>Fee recovery only; ignores other implementation/support costs</x:v>
      </x:c>
    </x:row>
    <x:row r="8" ht="22" customHeight="1">
      <x:c r="A8" s="32" t="str">
        <x:v>Total-cost break-even vendor FTE-months</x:v>
      </x:c>
      <x:c r="B8" s="33" t="n">
        <x:f>B6/'Assumptions'!B13</x:f>
        <x:v>1000</x:v>
      </x:c>
      <x:c r="C8" s="32" t="str">
        <x:v>FTE-months</x:v>
      </x:c>
      <x:c r="D8" s="32" t="str">
        <x:v>No other monetised benefits</x:v>
      </x:c>
    </x:row>
    <x:row r="9" ht="22" customHeight="1">
      <x:c r="A9" t="str">
        <x:v>Contractor potential (36M)</x:v>
      </x:c>
      <x:c r="B9" s="16" t="n">
        <x:f>SUM('36M Workforce'!F6:F41)</x:f>
        <x:v>3900</x:v>
      </x:c>
      <x:c r="C9" t="str">
        <x:v>FTE-months</x:v>
      </x:c>
      <x:c r="D9" t="str">
        <x:v>Not verified avoidable contracts</x:v>
      </x:c>
    </x:row>
    <x:row r="10" ht="22" customHeight="1">
      <x:c r="A10" t="str">
        <x:v>Nonvendor potential (36M)</x:v>
      </x:c>
      <x:c r="B10" s="16" t="n">
        <x:f>SUM('36M Workforce'!E6:E41)</x:f>
        <x:v>10725</x:v>
      </x:c>
      <x:c r="C10" t="str">
        <x:v>FTE-months</x:v>
      </x:c>
      <x:c r="D10" t="str">
        <x:v>Productive task capacity; not cash</x:v>
      </x:c>
    </x:row>
    <x:row r="11" ht="22" customHeight="1">
      <x:c r="A11" t="str">
        <x:v>Assumed vendor unit saving</x:v>
      </x:c>
      <x:c r="B11" s="16" t="n">
        <x:f>'Assumptions'!B13</x:f>
        <x:v>6</x:v>
      </x:c>
      <x:c r="C11" t="str">
        <x:v>Rp m/FTE-month</x:v>
      </x:c>
      <x:c r="D11" t="str">
        <x:v>Scenario unit price, not procurement-verified</x:v>
      </x:c>
    </x:row>
    <x:row r="12" ht="22" customHeight="1">
      <x:c r="A12" t="str">
        <x:v>Vendor benefit 36M (conditional)</x:v>
      </x:c>
      <x:c r="B12" s="16" t="n">
        <x:f>B9*B11*'Assumptions'!B29</x:f>
        <x:v>23400</x:v>
      </x:c>
      <x:c r="C12" t="str">
        <x:v>Rp m</x:v>
      </x:c>
      <x:c r="D12" t="str">
        <x:v>100% unit realization only if capture=1; no evidence of actual avoidable vendor spend</x:v>
      </x:c>
    </x:row>
    <x:row r="13" ht="22" customHeight="1">
      <x:c r="A13" t="str">
        <x:v>Other cash: avoided recruiting</x:v>
      </x:c>
      <x:c r="B13" s="16" t="n">
        <x:f>'Assumptions'!B19</x:f>
        <x:v>0</x:v>
      </x:c>
      <x:c r="C13" t="str">
        <x:v>Rp m</x:v>
      </x:c>
      <x:c r="D13" t="str">
        <x:v>Zero placeholder: NOT MODELLED</x:v>
      </x:c>
    </x:row>
    <x:row r="14" ht="22" customHeight="1">
      <x:c r="A14" t="str">
        <x:v>Other cash: avoided overtime</x:v>
      </x:c>
      <x:c r="B14" s="16" t="n">
        <x:f>'Assumptions'!B20</x:f>
        <x:v>0</x:v>
      </x:c>
      <x:c r="C14" t="str">
        <x:v>Rp m</x:v>
      </x:c>
      <x:c r="D14" t="str">
        <x:v>Zero placeholder: NOT MODELLED</x:v>
      </x:c>
    </x:row>
    <x:row r="15" ht="22" customHeight="1">
      <x:c r="A15" s="32" t="str">
        <x:v>Cash ROI 36M / modelled categories</x:v>
      </x:c>
      <x:c r="B15" s="36" t="n">
        <x:f>(B12+B13+B14-B6)/B6</x:f>
        <x:v>2.9</x:v>
      </x:c>
      <x:c r="C15" s="32" t="str">
        <x:v>ratio</x:v>
      </x:c>
      <x:c r="D15" s="32" t="str">
        <x:v>100% vendor-capture upside vs programme; not forecast or incremental ROI vs wait 12 months.</x:v>
      </x:c>
    </x:row>
    <x:row r="16" ht="22" customHeight="1">
      <x:c r="A16" s="32" t="str">
        <x:v>Cash ROI zero-contractor / modelled categories</x:v>
      </x:c>
      <x:c r="B16" s="36" t="n">
        <x:f>(B13+B14-B6)/B6</x:f>
        <x:v>-1</x:v>
      </x:c>
      <x:c r="C16" s="32" t="str">
        <x:v>ratio</x:v>
      </x:c>
      <x:c r="D16" s="32" t="str">
        <x:v>Zero-vendor benchmark only for cash categories modelled; unpriced benefits NOT assigned a value of zero</x:v>
      </x:c>
    </x:row>
    <x:row r="17" ht="22" customHeight="1">
      <x:c r="A17" t="str">
        <x:v>Cash NPV 36M / full-vendor scenario</x:v>
      </x:c>
      <x:c r="B17" s="16" t="n">
        <x:f>SUM('36M Workforce'!V6:V41)-SUM('36M Workforce'!X6:X41)</x:f>
        <x:v>13859.29884103443</x:v>
      </x:c>
      <x:c r="C17" t="str">
        <x:v>Rp m</x:v>
      </x:c>
      <x:c r="D17" t="str">
        <x:v>10% annual discount; costs allocated by year</x:v>
      </x:c>
    </x:row>
    <x:row r="18" ht="22" customHeight="1">
      <x:c r="A18" t="str">
        <x:v>Zero-vendor cash NPV</x:v>
      </x:c>
      <x:c r="B18" s="16" t="n">
        <x:f>-SUM('36M Workforce'!X6:X41)</x:f>
        <x:v>-5574.6187044247845</x:v>
      </x:c>
      <x:c r="C18" t="str">
        <x:v>Rp m</x:v>
      </x:c>
      <x:c r="D18" t="str">
        <x:v>Other cash categories not modelled</x:v>
      </x:c>
    </x:row>
    <x:row r="19" ht="22" customHeight="1">
      <x:c r="A19" t="str">
        <x:v>Break-even unit price at all vendor FTE-months</x:v>
      </x:c>
      <x:c r="B19" s="16" t="n">
        <x:f>IF(OR(B9=0,'Assumptions'!B29=0),"N/A",B6/(B9*'Assumptions'!B29))</x:f>
        <x:v>1.5384615384615385</x:v>
      </x:c>
      <x:c r="C19" t="str">
        <x:v>Rp m/FTE-month</x:v>
      </x:c>
      <x:c r="D19" t="str">
        <x:v>Conditional break-even price; N/A when candidate volume or vendor capture is zero, not zero cost.</x:v>
      </x:c>
    </x:row>
    <x:row r="20" ht="24" customHeight="1">
      <x:c r="A20" s="76" t="str">
        <x:v>RECEIVING WORK &amp; CAPACITY</x:v>
      </x:c>
      <x:c r="B20" s="77"/>
      <x:c r="C20" s="76"/>
      <x:c r="D20" s="76" t="str">
        <x:v>WE does not equal unique people</x:v>
      </x:c>
    </x:row>
    <x:row r="21" ht="22" customHeight="1">
      <x:c r="A21" t="str">
        <x:v>Displaced work M36</x:v>
      </x:c>
      <x:c r="B21" s="16" t="n">
        <x:f>'36M Workforce'!B41</x:f>
        <x:v>3570</x:v>
      </x:c>
      <x:c r="C21" t="str">
        <x:v>WE</x:v>
      </x:c>
      <x:c r="D21" t="str">
        <x:v>6,000 x 70% x 85%; only 70% from brief</x:v>
      </x:c>
    </x:row>
    <x:row r="22" ht="22" customHeight="1">
      <x:c r="A22" t="str">
        <x:v>Modelled vendor match M36</x:v>
      </x:c>
      <x:c r="B22" s="16" t="n">
        <x:f>'36M Workforce'!F41</x:f>
        <x:v>156</x:v>
      </x:c>
      <x:c r="C22" t="str">
        <x:v>WE</x:v>
      </x:c>
      <x:c r="D22" t="str">
        <x:v>Potential, not confirmed</x:v>
      </x:c>
    </x:row>
    <x:row r="23" ht="22" customHeight="1">
      <x:c r="A23" t="str">
        <x:v>Modelled nonvendor match M36</x:v>
      </x:c>
      <x:c r="B23" s="16" t="n">
        <x:f>'36M Workforce'!E41</x:f>
        <x:v>429</x:v>
      </x:c>
      <x:c r="C23" t="str">
        <x:v>WE</x:v>
      </x:c>
      <x:c r="D23" t="str">
        <x:v>Potential, not confirmed</x:v>
      </x:c>
    </x:row>
    <x:row r="24" ht="22" customHeight="1">
      <x:c r="A24" t="str">
        <x:v>Relevant attrition offset M36</x:v>
      </x:c>
      <x:c r="B24" s="16" t="n">
        <x:f>'36M Workforce'!D41</x:f>
        <x:v>450</x:v>
      </x:c>
      <x:c r="C24" t="str">
        <x:v>WE</x:v>
      </x:c>
      <x:c r="D24" t="str">
        <x:v>Not redeployment</x:v>
      </x:c>
    </x:row>
    <x:row r="25" ht="22" customHeight="1">
      <x:c r="A25" s="32" t="str">
        <x:v>Unresolved gap M36 with vendor</x:v>
      </x:c>
      <x:c r="B25" s="33" t="n">
        <x:f>'36M Workforce'!G41</x:f>
        <x:v>2535</x:v>
      </x:c>
      <x:c r="C25" s="32" t="str">
        <x:v>WE</x:v>
      </x:c>
      <x:c r="D25" s="32" t="str">
        <x:v>Modelled work pressure, not exits</x:v>
      </x:c>
    </x:row>
    <x:row r="26" ht="22" customHeight="1">
      <x:c r="A26" s="32" t="str">
        <x:v>Unresolved gap M36 zero vendor</x:v>
      </x:c>
      <x:c r="B26" s="33" t="n">
        <x:f>'36M Workforce'!I41</x:f>
        <x:v>2691</x:v>
      </x:c>
      <x:c r="C26" s="32" t="str">
        <x:v>WE</x:v>
      </x:c>
      <x:c r="D26" s="32" t="str">
        <x:v>No gating in this result</x:v>
      </x:c>
    </x:row>
    <x:row r="27" ht="22" customHeight="1">
      <x:c r="A27" t="str">
        <x:v>Absorption-only share</x:v>
      </x:c>
      <x:c r="B27" s="30" t="n">
        <x:f>(B22+B23)/B21</x:f>
        <x:v>0.1638655462184874</x:v>
      </x:c>
      <x:c r="C27" t="str">
        <x:v>ratio</x:v>
      </x:c>
      <x:c r="D27" t="str">
        <x:v>Excludes attrition</x:v>
      </x:c>
    </x:row>
    <x:row r="28" ht="22" customHeight="1">
      <x:c r="A28" t="str">
        <x:v>Gap addressed incl attrition</x:v>
      </x:c>
      <x:c r="B28" s="30" t="n">
        <x:f>(B22+B23+B24)/B21</x:f>
        <x:v>0.28991596638655465</x:v>
      </x:c>
      <x:c r="C28" t="str">
        <x:v>ratio</x:v>
      </x:c>
      <x:c r="D28" t="str">
        <x:v>Not successful redeployment %</x:v>
      </x:c>
    </x:row>
    <x:row r="29" ht="22" customHeight="1">
      <x:c r="A29" s="32" t="str">
        <x:v>Required receiving capacity M18</x:v>
      </x:c>
      <x:c r="B29" s="33" t="n">
        <x:f>('36M Workforce'!B23-'36M Workforce'!D23)/'Assumptions'!B6</x:f>
        <x:v>5146.153846153846</x:v>
      </x:c>
      <x:c r="C29" s="32" t="str">
        <x:v>receiving WE</x:v>
      </x:c>
      <x:c r="D29" s="32" t="str">
        <x:v>Before redesign/mobility</x:v>
      </x:c>
    </x:row>
    <x:row r="30" ht="22" customHeight="1">
      <x:c r="A30" s="32" t="str">
        <x:v>Required receiving capacity M36</x:v>
      </x:c>
      <x:c r="B30" s="33" t="n">
        <x:f>(B21-B24)/'Assumptions'!B6</x:f>
        <x:v>4800</x:v>
      </x:c>
      <x:c r="C30" s="32" t="str">
        <x:v>receiving WE</x:v>
      </x:c>
      <x:c r="D30" s="32" t="str">
        <x:v>Before redesign/mobility</x:v>
      </x:c>
    </x:row>
    <x:row r="31" ht="24" customHeight="1">
      <x:c r="A31" s="76" t="str">
        <x:v>COST COMPLETENESS WARNING</x:v>
      </x:c>
      <x:c r="B31" s="77"/>
      <x:c r="C31" s="76"/>
      <x:c r="D31" s="76" t="str">
        <x:v>Hybrid architecture separate estimate may overlap programme costs; re-cost and de-duplicate</x:v>
      </x:c>
    </x:row>
    <x:row r="32" ht="22" customHeight="1">
      <x:c r="B32" s="16"/>
    </x:row>
    <x:row r="33" ht="24" customHeight="1">
      <x:c r="A33" s="76" t="str">
        <x:v>12-MONTH SCREENING</x:v>
      </x:c>
      <x:c r="B33" s="77"/>
      <x:c r="C33" s="76"/>
      <x:c r="D33" s="76" t="str">
        <x:v>Full programme cost includes consultancy fee; illustrative only</x:v>
      </x:c>
    </x:row>
    <x:row r="34" ht="22" customHeight="1">
      <x:c r="A34" t="str">
        <x:v>Vendor FTE-months first 12 months</x:v>
      </x:c>
      <x:c r="B34" s="16" t="n">
        <x:f>SUM('36M Workforce'!F6:F17)</x:f>
        <x:v>374.4</x:v>
      </x:c>
      <x:c r="C34" t="str">
        <x:v>FTE-months</x:v>
      </x:c>
      <x:c r="D34" t="str">
        <x:v>Monthly sum (potential only)</x:v>
      </x:c>
    </x:row>
    <x:row r="35" ht="22" customHeight="1">
      <x:c r="A35" t="str">
        <x:v>Programme outlay first 12 months</x:v>
      </x:c>
      <x:c r="B35" s="16" t="n">
        <x:f>'Assumptions'!B9+'Assumptions'!B10</x:f>
        <x:v>5000</x:v>
      </x:c>
      <x:c r="C35" t="str">
        <x:v>Rp m</x:v>
      </x:c>
      <x:c r="D35" t="str">
        <x:v>Fee + implementation assumption</x:v>
      </x:c>
    </x:row>
    <x:row r="36" ht="22" customHeight="1">
      <x:c r="A36" t="str">
        <x:v>Vendor cash 12M (if validated)</x:v>
      </x:c>
      <x:c r="B36" s="16" t="n">
        <x:f>B34*'Assumptions'!B13*'Assumptions'!B29</x:f>
        <x:v>2246.3999999999996</x:v>
      </x:c>
      <x:c r="C36" t="str">
        <x:v>Rp m</x:v>
      </x:c>
      <x:c r="D36" t="str">
        <x:v>Not Client validated</x:v>
      </x:c>
    </x:row>
    <x:row r="37" ht="22" customHeight="1">
      <x:c r="A37" t="str">
        <x:v>Cash ROI 12M / modelled categories</x:v>
      </x:c>
      <x:c r="B37" s="30" t="n">
        <x:f>(B36-B35)/B35</x:f>
        <x:v>-0.5507200000000001</x:v>
      </x:c>
      <x:c r="C37" t="str">
        <x:v>ratio</x:v>
      </x:c>
      <x:c r="D37" t="str">
        <x:v>Not income guarantee</x:v>
      </x:c>
    </x:row>
    <x:row r="38" ht="22" customHeight="1">
      <x:c r="A38" t="str">
        <x:v>Distinct engagement fee-only recovery</x:v>
      </x:c>
      <x:c r="B38" s="16" t="n">
        <x:f>'Assumptions'!B9</x:f>
        <x:v>3500</x:v>
      </x:c>
      <x:c r="C38" t="str">
        <x:v>Rp m</x:v>
      </x:c>
      <x:c r="D38" t="str">
        <x:v>Showing consultant fee is not the same as a full-cost ROI</x:v>
      </x:c>
    </x:row>
    <x:row r="39" ht="22" customHeight="1">
      <x:c r="A39" t="str">
        <x:v>Engagement fee recovery threshold</x:v>
      </x:c>
      <x:c r="B39" s="16" t="n">
        <x:f>B38/'Assumptions'!B13</x:f>
        <x:v>583.3333333333334</x:v>
      </x:c>
      <x:c r="C39" t="str">
        <x:v>FTE-months</x:v>
      </x:c>
      <x:c r="D39" t="str">
        <x:v>Ignoring implementation costs; not presentation headline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3" hidden="0" customWidth="1"/>
    <x:col min="2" max="2" width="25" hidden="0" customWidth="1"/>
    <x:col min="3" max="3" width="23" hidden="0" customWidth="1"/>
    <x:col min="4" max="4" width="93" hidden="0" customWidth="1"/>
  </x:cols>
  <x:sheetData>
    <x:row r="1" ht="29" customHeight="1">
      <x:c r="A1" s="66" t="str">
        <x:v>COST OF DELAYED TRANSITION — COMPARABLE WORKLOAD SCENARIO</x:v>
      </x:c>
      <x:c r="B1" s="66" t="str">
        <x:v>VALUE</x:v>
      </x:c>
      <x:c r="C1" s="66" t="str">
        <x:v>UNIT</x:v>
      </x:c>
      <x:c r="D1" s="66" t="str">
        <x:v>INTERPRETATION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4" customHeight="1">
      <x:c r="A2" s="76" t="str">
        <x:v>Counterfactual assumption</x:v>
      </x:c>
      <x:c r="B2" s="77"/>
      <x:c r="C2" s="76"/>
      <x:c r="D2" s="76" t="str">
        <x:v>Automation proceeds unchanged; workforce transition/matching starts 12 months later. Same potential receiving demand and attrition.</x:v>
      </x:c>
    </x:row>
    <x:row r="3" ht="22" customHeight="1">
      <x:c r="A3" t="str">
        <x:v>Actual programme starts matching</x:v>
      </x:c>
      <x:c r="B3" s="16" t="n">
        <x:f>COUNTIF('Ramp Drivers'!C4:C40,0)</x:f>
        <x:v>5</x:v>
      </x:c>
      <x:c r="C3" t="str">
        <x:v>month</x:v>
      </x:c>
      <x:c r="D3" t="str">
        <x:v>First positive matched-share month, derived from Ramp Drivers (zero-prefix count); assumes monotone match ramp.</x:v>
      </x:c>
    </x:row>
    <x:row r="4" ht="22" customHeight="1">
      <x:c r="A4" t="str">
        <x:v>Wait model starts matching</x:v>
      </x:c>
      <x:c r="B4" s="16" t="n">
        <x:f>'Assumptions'!B18+B3</x:f>
        <x:v>17</x:v>
      </x:c>
      <x:c r="C4" t="str">
        <x:v>month</x:v>
      </x:c>
      <x:c r="D4" t="str">
        <x:v>Wait period is 12 months after programme matching start</x:v>
      </x:c>
    </x:row>
    <x:row r="5" ht="22" customHeight="1">
      <x:c r="A5" t="str">
        <x:v>Year 1: unresolved gap WE-months / act now</x:v>
      </x:c>
      <x:c r="B5" s="16" t="n">
        <x:f>SUM('36M Workforce'!G6:G17)</x:f>
        <x:v>13939.577430555557</x:v>
      </x:c>
      <x:c r="C5" t="str">
        <x:v>WE-months</x:v>
      </x:c>
      <x:c r="D5" t="str">
        <x:v>Capacity pressure; NOT actual unemployment or cash</x:v>
      </x:c>
    </x:row>
    <x:row r="6" ht="22" customHeight="1">
      <x:c r="A6" t="str">
        <x:v>Year 1: unresolved gap WE-months / wait</x:v>
      </x:c>
      <x:c r="B6" s="16" t="n">
        <x:f>SUM('36M Workforce'!O6:O17)</x:f>
        <x:v>15343.577430555557</x:v>
      </x:c>
      <x:c r="C6" t="str">
        <x:v>WE-months</x:v>
      </x:c>
      <x:c r="D6" t="str">
        <x:v>Same automation, same attrition</x:v>
      </x:c>
    </x:row>
    <x:row r="7" ht="22" customHeight="1">
      <x:c r="A7" s="32" t="str">
        <x:v>EXTRA unresolved gap caused by waiting (year 1)</x:v>
      </x:c>
      <x:c r="B7" s="33" t="n">
        <x:f>B6-B5</x:f>
        <x:v>1404</x:v>
      </x:c>
      <x:c r="C7" s="32" t="str">
        <x:v>WE-months</x:v>
      </x:c>
      <x:c r="D7" s="32" t="str">
        <x:v>Primary non-monetary cost of inaction</x:v>
      </x:c>
    </x:row>
    <x:row r="8" ht="22" customHeight="1">
      <x:c r="A8" t="str">
        <x:v>Year 1: incremental vendor FTE-months</x:v>
      </x:c>
      <x:c r="B8" s="16" t="n">
        <x:f>SUM('36M Workforce'!R6:R17)</x:f>
        <x:v>374.4</x:v>
      </x:c>
      <x:c r="C8" t="str">
        <x:v>FTE-months</x:v>
      </x:c>
      <x:c r="D8" t="str">
        <x:v>Conditional capacity that could have substituted vendors</x:v>
      </x:c>
    </x:row>
    <x:row r="9" ht="22" customHeight="1">
      <x:c r="A9" t="str">
        <x:v>Year 1: incremental nonvendor FTE-months</x:v>
      </x:c>
      <x:c r="B9" s="16" t="n">
        <x:f>SUM('36M Workforce'!Q6:Q17)</x:f>
        <x:v>1029.6000000000001</x:v>
      </x:c>
      <x:c r="C9" t="str">
        <x:v>FTE-months</x:v>
      </x:c>
      <x:c r="D9" t="str">
        <x:v>May be productive; not proven cash</x:v>
      </x:c>
    </x:row>
    <x:row r="10" ht="22" customHeight="1">
      <x:c r="A10" t="str">
        <x:v>Year 1: *potential* vendor cash not recovered</x:v>
      </x:c>
      <x:c r="B10" s="16" t="n">
        <x:f>B8*'Assumptions'!B13*'Assumptions'!B29</x:f>
        <x:v>2246.3999999999996</x:v>
      </x:c>
      <x:c r="C10" t="str">
        <x:v>Rp m</x:v>
      </x:c>
      <x:c r="D10" t="str">
        <x:v>ZERO actual proof of avoidability in brief</x:v>
      </x:c>
    </x:row>
    <x:row r="11" ht="22" customHeight="1">
      <x:c r="A11" t="str">
        <x:v>Year 1: noncash value low</x:v>
      </x:c>
      <x:c r="B11" s="16" t="n">
        <x:f>B9*'Assumptions'!B14</x:f>
        <x:v>0</x:v>
      </x:c>
      <x:c r="C11" t="str">
        <x:v>Rp m</x:v>
      </x:c>
      <x:c r="D11" t="str">
        <x:v>No salary proxy; only incremental outputs if proven</x:v>
      </x:c>
    </x:row>
    <x:row r="12" ht="22" customHeight="1">
      <x:c r="A12" t="str">
        <x:v>Year 1: noncash value mid</x:v>
      </x:c>
      <x:c r="B12" s="16" t="n">
        <x:f>B9*'Assumptions'!B15</x:f>
        <x:v>2059.2000000000003</x:v>
      </x:c>
      <x:c r="C12" t="str">
        <x:v>Rp m</x:v>
      </x:c>
      <x:c r="D12" t="str">
        <x:v>Separate from cash</x:v>
      </x:c>
    </x:row>
    <x:row r="13" ht="22" customHeight="1">
      <x:c r="A13" t="str">
        <x:v>Year 1: noncash value high</x:v>
      </x:c>
      <x:c r="B13" s="16" t="n">
        <x:f>B9*'Assumptions'!B16</x:f>
        <x:v>4118.400000000001</x:v>
      </x:c>
      <x:c r="C13" t="str">
        <x:v>Rp m</x:v>
      </x:c>
      <x:c r="D13" t="str">
        <x:v>Do not add to vendor cash automatically</x:v>
      </x:c>
    </x:row>
    <x:row r="14" ht="22" customHeight="1">
      <x:c r="A14" s="32" t="str">
        <x:v>36M cumulative extra unresolved gap if wait</x:v>
      </x:c>
      <x:c r="B14" s="33" t="n">
        <x:f>SUM('36M Workforce'!P6:P41)</x:f>
        <x:v>7020</x:v>
      </x:c>
      <x:c r="C14" s="32" t="str">
        <x:v>WE-months</x:v>
      </x:c>
      <x:c r="D14" s="32" t="str">
        <x:v>Integration of transition pressure over horizon</x:v>
      </x:c>
    </x:row>
    <x:row r="15" ht="22" customHeight="1">
      <x:c r="A15" t="str">
        <x:v>36M incremental vendor FTE-months / act now</x:v>
      </x:c>
      <x:c r="B15" s="16" t="n">
        <x:f>SUM('36M Workforce'!R6:R41)</x:f>
        <x:v>1872</x:v>
      </x:c>
      <x:c r="C15" t="str">
        <x:v>FTE-months</x:v>
      </x:c>
      <x:c r="D15" t="str">
        <x:v>NOT full 3,900 gross, because delayed programme eventually catches up</x:v>
      </x:c>
    </x:row>
    <x:row r="16" ht="22" customHeight="1">
      <x:c r="A16" t="str">
        <x:v>36M incremental nonvendor FTE-months / act now</x:v>
      </x:c>
      <x:c r="B16" s="16" t="n">
        <x:f>SUM('36M Workforce'!Q6:Q41)</x:f>
        <x:v>5148</x:v>
      </x:c>
      <x:c r="C16" t="str">
        <x:v>FTE-months</x:v>
      </x:c>
      <x:c r="D16" t="str">
        <x:v>NOT full 10,725 gross</x:v>
      </x:c>
    </x:row>
    <x:row r="17" ht="22" customHeight="1">
      <x:c r="A17" t="str">
        <x:v>36M vendor cash difference / test price</x:v>
      </x:c>
      <x:c r="B17" s="16" t="n">
        <x:f>B15*'Assumptions'!B13*'Assumptions'!B29</x:f>
        <x:v>11232</x:v>
      </x:c>
      <x:c r="C17" t="str">
        <x:v>Rp m</x:v>
      </x:c>
      <x:c r="D17" t="str">
        <x:v>Sensitivity; NOT causal ROI and no deduction for costs of delayed plan</x:v>
      </x:c>
    </x:row>
    <x:row r="18" ht="24" customHeight="1">
      <x:c r="A18" s="76" t="str">
        <x:v>WHAT IS NOT CLAIMED</x:v>
      </x:c>
      <x:c r="B18" s="77"/>
      <x:c r="C18" s="76"/>
      <x:c r="D18" s="76" t="str">
        <x:v>No direct monetary estimate of strike risk, safety incidents, wages, technology ROI or cost of PHK.</x:v>
      </x:c>
    </x:row>
    <x:row r="19" ht="24" customHeight="1">
      <x:c r="A19" s="76" t="str">
        <x:v>LAYOFF THEN REHIRE: POLICY-CONSTRAINED STRESS TEST</x:v>
      </x:c>
      <x:c r="B19" s="77"/>
      <x:c r="C19" s="76"/>
      <x:c r="D19" s="76" t="str">
        <x:v>Not a recommended lawful option; figures below fictional, not Client workforce forecast</x:v>
      </x:c>
    </x:row>
    <x:row r="20" ht="22" customHeight="1">
      <x:c r="A20" t="str">
        <x:v>Fictional one-time gross comparator</x:v>
      </x:c>
      <x:c r="B20" s="16" t="n">
        <x:f>'Counterfactual Decisions'!B16</x:f>
        <x:v>12000</x:v>
      </x:c>
      <x:c r="C20" t="str">
        <x:v>Rp m</x:v>
      </x:c>
      <x:c r="D20" t="str">
        <x:v>Synthetic headcount and prices in Assumptions!B23:B27; not comparable to 36M programme cash absent full baseline</x:v>
      </x:c>
    </x:row>
    <x:row r="21" ht="22" customHeight="1">
      <x:c r="A21" s="38" t="str">
        <x:v>DO NOT infer separations from WE</x:v>
      </x:c>
      <x:c r="B21" s="39"/>
      <x:c r="C21" s="38"/>
      <x:c r="D21" s="38" t="str">
        <x:v>2,535 unresolved WE is workload, not 2,535 individuals</x:v>
      </x:c>
    </x:row>
    <x:row r="22" ht="22" customHeight="1">
      <x:c r="A22" s="38" t="str">
        <x:v>IMPORTANT COMPARABILITY</x:v>
      </x:c>
      <x:c r="B22" s="39"/>
      <x:c r="C22" s="38"/>
      <x:c r="D22" s="38" t="str">
        <x:v>Wait plan may also require future programme costs; 36M vendor difference is not net ROI between two funded plans.</x:v>
      </x:c>
    </x:row>
    <x:row r="23" ht="22" customHeight="1">
      <x:c r="B23" s="16"/>
    </x:row>
    <x:row r="24" ht="22" customHeight="1">
      <x:c r="B24" s="16"/>
    </x:row>
    <x:row r="25" ht="22" customHeight="1">
      <x:c r="B25" s="16"/>
    </x:row>
    <x:row r="26" ht="22" customHeight="1">
      <x:c r="B26" s="16"/>
    </x:row>
    <x:row r="27" ht="22" customHeight="1">
      <x:c r="B27" s="16"/>
    </x:row>
    <x:row r="28" ht="22" customHeight="1">
      <x:c r="B28" s="16"/>
    </x:row>
    <x:row r="29" ht="22" customHeight="1">
      <x:c r="B29" s="16"/>
    </x:row>
    <x:row r="30" ht="22" customHeight="1">
      <x:c r="B30" s="16"/>
    </x:row>
    <x:row r="31" ht="22" customHeight="1">
      <x:c r="B31" s="16"/>
    </x:row>
    <x:row r="32" ht="22" customHeight="1">
      <x:c r="B32" s="16"/>
    </x:row>
    <x:row r="33" ht="22" customHeight="1">
      <x:c r="B33" s="16"/>
    </x:row>
    <x:row r="34" ht="22" customHeight="1">
      <x:c r="B34" s="16"/>
    </x:row>
    <x:row r="35" ht="22" customHeight="1">
      <x:c r="B35" s="16"/>
    </x:row>
    <x:row r="36" ht="22" customHeight="1">
      <x:c r="B36" s="16"/>
    </x:row>
    <x:row r="37" ht="22" customHeight="1">
      <x:c r="B37" s="16"/>
    </x:row>
    <x:row r="38" ht="22" customHeight="1">
      <x:c r="B38" s="16"/>
    </x:row>
    <x:row r="39" ht="22" customHeight="1">
      <x:c r="B39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64" hidden="0" customWidth="1"/>
    <x:col min="4" max="4" width="66" hidden="0" customWidth="1"/>
    <x:col min="5" max="5" width="33" hidden="0" customWidth="1"/>
  </x:cols>
  <x:sheetData>
    <x:row r="1" ht="29" customHeight="1">
      <x:c r="A1" s="66" t="str">
        <x:v>M36 WORKFORCE GAP DRIVER</x:v>
      </x:c>
      <x:c r="B1" s="66" t="str">
        <x:v>TEST INPUT</x:v>
      </x:c>
      <x:c r="C1" s="66" t="str">
        <x:v>UNRESOLVED GAP WE</x:v>
      </x:c>
      <x:c r="D1" s="66" t="str">
        <x:v>CHANGE VS REFERENCE WE</x:v>
      </x:c>
      <x:c r="E1" s="66" t="str">
        <x:v>INTERPRETATION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6" customHeight="1">
      <x:c r="A2" t="str">
        <x:v>Attrition rate</x:v>
      </x:c>
      <x:c r="B2" s="20" t="n">
        <x:v>0.025</x:v>
      </x:c>
      <x:c r="C2" s="22" t="n">
        <x:f>MAX(0,'Cash &amp; ROI'!B21-'Assumptions'!B2*B2*'Assumptions'!B30/12-('Assumptions'!B7+'Assumptions'!B8)*'Assumptions'!B6)</x:f>
        <x:v>2535</x:v>
      </x:c>
      <x:c r="D2" s="22" t="n">
        <x:f>C2-'Cash &amp; ROI'!B25</x:f>
        <x:v>0</x:v>
      </x:c>
      <x:c r="E2" t="str">
        <x:v>Natural no-replacement exit; not placement</x:v>
      </x:c>
    </x:row>
    <x:row r="3">
      <x:c r="A3" t="str">
        <x:v>Attrition rate</x:v>
      </x:c>
      <x:c r="B3" s="20" t="n">
        <x:v>0.05</x:v>
      </x:c>
      <x:c r="C3" s="22" t="n">
        <x:f>MAX(0,'Cash &amp; ROI'!B21-'Assumptions'!B2*B3*'Assumptions'!B30/12-('Assumptions'!B7+'Assumptions'!B8)*'Assumptions'!B6)</x:f>
        <x:v>2085</x:v>
      </x:c>
      <x:c r="D3" s="22" t="n">
        <x:f>C3-'Cash &amp; ROI'!B25</x:f>
        <x:v>-450</x:v>
      </x:c>
      <x:c r="E3" t="str">
        <x:v>Needs real age/exit data</x:v>
      </x:c>
    </x:row>
    <x:row r="4">
      <x:c r="A4" t="str">
        <x:v>Attrition rate</x:v>
      </x:c>
      <x:c r="B4" s="20" t="n">
        <x:v>0.08</x:v>
      </x:c>
      <x:c r="C4" s="22" t="n">
        <x:f>MAX(0,'Cash &amp; ROI'!B21-'Assumptions'!B2*B4*'Assumptions'!B30/12-('Assumptions'!B7+'Assumptions'!B8)*'Assumptions'!B6)</x:f>
        <x:v>1545</x:v>
      </x:c>
      <x:c r="D4" s="22" t="n">
        <x:f>C4-'Cash &amp; ROI'!B25</x:f>
        <x:v>-990</x:v>
      </x:c>
      <x:c r="E4" t="str">
        <x:v>High attrition is sensitivity, not forecast</x:v>
      </x:c>
    </x:row>
    <x:row r="5">
      <x:c r="A5" t="str">
        <x:v>Readiness</x:v>
      </x:c>
      <x:c r="B5" s="20" t="n">
        <x:v>0.45</x:v>
      </x:c>
      <x:c r="C5" s="22" t="n">
        <x:f>MAX(0,'Cash &amp; ROI'!B21-'Cash &amp; ROI'!B24-('Assumptions'!B7+'Assumptions'!B8)*B5)</x:f>
        <x:v>2715</x:v>
      </x:c>
      <x:c r="D5" s="22" t="n">
        <x:f>C5-'Cash &amp; ROI'!B25</x:f>
        <x:v>180</x:v>
      </x:c>
      <x:c r="E5" t="str">
        <x:v>Composite matchable-work factor; not a measured skill score</x:v>
      </x:c>
    </x:row>
    <x:row r="6">
      <x:c r="A6" t="str">
        <x:v>Readiness</x:v>
      </x:c>
      <x:c r="B6" s="20" t="n">
        <x:v>0.65</x:v>
      </x:c>
      <x:c r="C6" s="22" t="n">
        <x:f>MAX(0,'Cash &amp; ROI'!B21-'Cash &amp; ROI'!B24-('Assumptions'!B7+'Assumptions'!B8)*B6)</x:f>
        <x:v>2535</x:v>
      </x:c>
      <x:c r="D6" s="22" t="n">
        <x:f>C6-'Cash &amp; ROI'!B25</x:f>
        <x:v>0</x:v>
      </x:c>
      <x:c r="E6" t="str">
        <x:v>Reference: 65% assumed matchability of candidate work</x:v>
      </x:c>
    </x:row>
    <x:row r="7">
      <x:c r="A7" t="str">
        <x:v>Readiness</x:v>
      </x:c>
      <x:c r="B7" s="20" t="n">
        <x:v>0.85</x:v>
      </x:c>
      <x:c r="C7" s="22" t="n">
        <x:f>MAX(0,'Cash &amp; ROI'!B21-'Cash &amp; ROI'!B24-('Assumptions'!B7+'Assumptions'!B8)*B7)</x:f>
        <x:v>2355</x:v>
      </x:c>
      <x:c r="D7" s="22" t="n">
        <x:f>C7-'Cash &amp; ROI'!B25</x:f>
        <x:v>-180</x:v>
      </x:c>
      <x:c r="E7" t="str">
        <x:v>Not a confirmed person-level placement rate</x:v>
      </x:c>
    </x:row>
    <x:row r="8">
      <x:c r="A8" t="str">
        <x:v>Total receiving work</x:v>
      </x:c>
      <x:c r="B8" t="n">
        <x:v>900</x:v>
      </x:c>
      <x:c r="C8" s="22" t="n">
        <x:f>MAX(0,'Cash &amp; ROI'!B21-'Cash &amp; ROI'!B24-B8*'Assumptions'!B6)</x:f>
        <x:v>2535</x:v>
      </x:c>
      <x:c r="D8" s="22" t="n">
        <x:f>C8-'Cash &amp; ROI'!B25</x:f>
        <x:v>0</x:v>
      </x:c>
      <x:c r="E8" t="str">
        <x:v>Including optional contractor</x:v>
      </x:c>
    </x:row>
    <x:row r="9">
      <x:c r="A9" t="str">
        <x:v>Total receiving work</x:v>
      </x:c>
      <x:c r="B9" t="n">
        <x:v>2000</x:v>
      </x:c>
      <x:c r="C9" s="22" t="n">
        <x:f>MAX(0,'Cash &amp; ROI'!B21-'Cash &amp; ROI'!B24-B9*'Assumptions'!B6)</x:f>
        <x:v>1820</x:v>
      </x:c>
      <x:c r="D9" s="22" t="n">
        <x:f>C9-'Cash &amp; ROI'!B25</x:f>
        <x:v>-715</x:v>
      </x:c>
      <x:c r="E9" t="str">
        <x:v>Synthetic upper test</x:v>
      </x:c>
    </x:row>
    <x:row r="10">
      <x:c r="A10" t="str">
        <x:v>Total receiving work</x:v>
      </x:c>
      <x:c r="B10" t="n">
        <x:v>3500</x:v>
      </x:c>
      <x:c r="C10" s="22" t="n">
        <x:f>MAX(0,'Cash &amp; ROI'!B21-'Cash &amp; ROI'!B24-B10*'Assumptions'!B6)</x:f>
        <x:v>845</x:v>
      </x:c>
      <x:c r="D10" s="22" t="n">
        <x:f>C10-'Cash &amp; ROI'!B25</x:f>
        <x:v>-1690</x:v>
      </x:c>
      <x:c r="E10" t="str">
        <x:v>Synthetic upper test</x:v>
      </x:c>
    </x:row>
    <x:row r="12">
      <x:c r="A12" t="str">
        <x:v>RANK WITHIN TEST RANGES</x:v>
      </x:c>
      <x:c r="B12" t="str">
        <x:v>GAP RANGE (WE)</x:v>
      </x:c>
      <x:c r="C12" t="str">
        <x:v>STATUS</x:v>
      </x:c>
      <x:c r="D12" t="str">
        <x:v>QUALIFICATION</x:v>
      </x:c>
    </x:row>
    <x:row r="13">
      <x:c r="A13" s="32" t="str">
        <x:v>Demand</x:v>
      </x:c>
      <x:c r="B13" s="32" t="n">
        <x:f>MAX(C8:C10)-MIN(C8:C10)</x:f>
        <x:v>1690</x:v>
      </x:c>
      <x:c r="C13" s="32" t="str">
        <x:v>Most impact</x:v>
      </x:c>
      <x:c r="D13" s="32" t="str">
        <x:v>Sweep is 900→3,500; not equal-width elasticities</x:v>
      </x:c>
    </x:row>
    <x:row r="14">
      <x:c r="A14" s="32" t="str">
        <x:v>Attrition</x:v>
      </x:c>
      <x:c r="B14" s="32" t="n">
        <x:f>MAX(C2:C4)-MIN(C2:C4)</x:f>
        <x:v>990</x:v>
      </x:c>
      <x:c r="C14" s="32" t="str">
        <x:v>Second</x:v>
      </x:c>
      <x:c r="D14" s="32" t="str">
        <x:v>2.5%→8%; assumption could differ for 60-year institution</x:v>
      </x:c>
    </x:row>
    <x:row r="15">
      <x:c r="A15" s="32" t="str">
        <x:v>Readiness</x:v>
      </x:c>
      <x:c r="B15" s="32" t="n">
        <x:f>MAX(C5:C7)-MIN(C5:C7)</x:f>
        <x:v>360</x:v>
      </x:c>
      <x:c r="C15" s="32" t="str">
        <x:v>Third</x:v>
      </x:c>
      <x:c r="D15" s="32" t="str">
        <x:v>45%→85%; skill evidence is unreliable until assessed</x:v>
      </x:c>
    </x:row>
    <x:row r="16">
      <x:c r="A16" s="109" t="str">
        <x:v>MODEL SEMANTICS</x:v>
      </x:c>
      <x:c r="B16" s="109" t="str">
        <x:v>TERM</x:v>
      </x:c>
      <x:c r="C16" s="109" t="str">
        <x:v>WHAT THE INPUT MEANS</x:v>
      </x:c>
      <x:c r="D16" s="109" t="str">
        <x:v>WHAT IT DOES NOT PROVE</x:v>
      </x:c>
      <x:c r="E16" s="109" t="str">
        <x:v>VERIFY WITH</x:v>
      </x:c>
    </x:row>
    <x:row r="17" ht="44" customHeight="1">
      <x:c r="A17" s="63" t="str">
        <x:v>Matchability factor</x:v>
      </x:c>
      <x:c r="B17" s="63" t="str">
        <x:v>Assumptions!B6</x:v>
      </x:c>
      <x:c r="C17" s="63" t="str">
        <x:v>Fraction of proposed receiving-work capacity that can yield a candidate WE at a horizon</x:v>
      </x:c>
      <x:c r="D17" s="63" t="str">
        <x:v>Not a person-level evidence confidence score; not job placement</x:v>
      </x:c>
      <x:c r="E17" s="63" t="str">
        <x:v>HC assessment + receiving-role SME</x:v>
      </x:c>
    </x:row>
    <x:row r="18" ht="44" customHeight="1">
      <x:c r="A18" s="63" t="str">
        <x:v>Evidence confidence</x:v>
      </x:c>
      <x:c r="B18" s="63" t="str">
        <x:v>External person-task rubric</x:v>
      </x:c>
      <x:c r="C18" s="63" t="str">
        <x:v>Recency, independence, and reliability of a specific observed task sample</x:v>
      </x:c>
      <x:c r="D18" s="63" t="str">
        <x:v>Not the 65% aggregate matchability factor</x:v>
      </x:c>
      <x:c r="E18" s="63" t="str">
        <x:v>Opt-in assessors + data steward</x:v>
      </x:c>
    </x:row>
    <x:row r="19" ht="44" customHeight="1">
      <x:c r="A19" s="110" t="str">
        <x:v>Confirmed placement</x:v>
      </x:c>
      <x:c r="B19" s="111" t="str">
        <x:v>Outside this scenario</x:v>
      </x:c>
      <x:c r="C19" s="111" t="str">
        <x:v>Formal human-reviewed placement after backed work and validated readiness</x:v>
      </x:c>
      <x:c r="D19" s="111" t="str">
        <x:v>Not equal to modelled matching FTE/WE</x:v>
      </x:c>
      <x:c r="E19" s="111" t="str">
        <x:v>Operations + HR/Union safeguards</x:v>
      </x:c>
    </x:row>
    <x:row r="20">
      <x:c r="A20" s="26" t="n">
        <x:v>0.25</x:v>
      </x:c>
      <x:c r="B20" s="24" t="n">
        <x:f>(('Cash &amp; ROI'!$B$9*$A20*0)-'Cash &amp; ROI'!$B$6)/'Cash &amp; ROI'!$B$6</x:f>
        <x:v>-1</x:v>
      </x:c>
      <x:c r="C20" s="24" t="n">
        <x:f>(('Cash &amp; ROI'!$B$9*$A20*1.54)-'Cash &amp; ROI'!$B$6)/'Cash &amp; ROI'!$B$6</x:f>
        <x:v>-0.74975</x:v>
      </x:c>
      <x:c r="D20" s="24" t="n">
        <x:f>(('Cash &amp; ROI'!$B$9*$A20*3)-'Cash &amp; ROI'!$B$6)/'Cash &amp; ROI'!$B$6</x:f>
        <x:v>-0.5125</x:v>
      </x:c>
      <x:c r="E20" s="24" t="n">
        <x:f>(('Cash &amp; ROI'!$B$9*$A20*6)-'Cash &amp; ROI'!$B$6)/'Cash &amp; ROI'!$B$6</x:f>
        <x:v>-0.025</x:v>
      </x:c>
    </x:row>
    <x:row r="21">
      <x:c r="A21" s="26" t="n">
        <x:v>0.5</x:v>
      </x:c>
      <x:c r="B21" s="24" t="n">
        <x:f>(('Cash &amp; ROI'!$B$9*$A21*0)-'Cash &amp; ROI'!$B$6)/'Cash &amp; ROI'!$B$6</x:f>
        <x:v>-1</x:v>
      </x:c>
      <x:c r="C21" s="24" t="n">
        <x:f>(('Cash &amp; ROI'!$B$9*$A21*1.54)-'Cash &amp; ROI'!$B$6)/'Cash &amp; ROI'!$B$6</x:f>
        <x:v>-0.4995</x:v>
      </x:c>
      <x:c r="D21" s="24" t="n">
        <x:f>(('Cash &amp; ROI'!$B$9*$A21*3)-'Cash &amp; ROI'!$B$6)/'Cash &amp; ROI'!$B$6</x:f>
        <x:v>-0.025</x:v>
      </x:c>
      <x:c r="E21" s="24" t="n">
        <x:f>(('Cash &amp; ROI'!$B$9*$A21*6)-'Cash &amp; ROI'!$B$6)/'Cash &amp; ROI'!$B$6</x:f>
        <x:v>0.95</x:v>
      </x:c>
    </x:row>
    <x:row r="22">
      <x:c r="A22" s="26" t="n">
        <x:v>0.75</x:v>
      </x:c>
      <x:c r="B22" s="24" t="n">
        <x:f>(('Cash &amp; ROI'!$B$9*$A22*0)-'Cash &amp; ROI'!$B$6)/'Cash &amp; ROI'!$B$6</x:f>
        <x:v>-1</x:v>
      </x:c>
      <x:c r="C22" s="24" t="n">
        <x:f>(('Cash &amp; ROI'!$B$9*$A22*1.54)-'Cash &amp; ROI'!$B$6)/'Cash &amp; ROI'!$B$6</x:f>
        <x:v>-0.24925</x:v>
      </x:c>
      <x:c r="D22" s="24" t="n">
        <x:f>(('Cash &amp; ROI'!$B$9*$A22*3)-'Cash &amp; ROI'!$B$6)/'Cash &amp; ROI'!$B$6</x:f>
        <x:v>0.4625</x:v>
      </x:c>
      <x:c r="E22" s="24" t="n">
        <x:f>(('Cash &amp; ROI'!$B$9*$A22*6)-'Cash &amp; ROI'!$B$6)/'Cash &amp; ROI'!$B$6</x:f>
        <x:v>1.925</x:v>
      </x:c>
    </x:row>
    <x:row r="23">
      <x:c r="A23" s="26" t="n">
        <x:v>1</x:v>
      </x:c>
      <x:c r="B23" s="24" t="n">
        <x:f>(('Cash &amp; ROI'!$B$9*$A23*0)-'Cash &amp; ROI'!$B$6)/'Cash &amp; ROI'!$B$6</x:f>
        <x:v>-1</x:v>
      </x:c>
      <x:c r="C23" s="24" t="n">
        <x:f>(('Cash &amp; ROI'!$B$9*$A23*1.54)-'Cash &amp; ROI'!$B$6)/'Cash &amp; ROI'!$B$6</x:f>
        <x:v>0.001</x:v>
      </x:c>
      <x:c r="D23" s="24" t="n">
        <x:f>(('Cash &amp; ROI'!$B$9*$A23*3)-'Cash &amp; ROI'!$B$6)/'Cash &amp; ROI'!$B$6</x:f>
        <x:v>0.95</x:v>
      </x:c>
      <x:c r="E23" s="24" t="n">
        <x:f>(('Cash &amp; ROI'!$B$9*$A23*6)-'Cash &amp; ROI'!$B$6)/'Cash &amp; ROI'!$B$6</x:f>
        <x:v>2.9</x:v>
      </x:c>
    </x:row>
    <x:row r="25">
      <x:c r="A25" t="str">
        <x:v>All numerical values are synthetic except brief-derived quantities. Cash case depends on independently avoidable vendor spend.</x:v>
      </x:c>
      <x:c r="B25"/>
      <x:c r="C25"/>
      <x:c r="D25"/>
      <x:c r="E25"/>
    </x:row>
    <x:row r="26">
      <x:c r="A26" t="str">
        <x:v>Unmodelled cash savings from recruiting/overtime are not assumed to be truly zero.</x:v>
      </x:c>
      <x:c r="B26"/>
      <x:c r="C26"/>
      <x:c r="D26"/>
      <x:c r="E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40" hidden="0" customWidth="1"/>
    <x:col min="8" max="8" width="35" hidden="0" customWidth="1"/>
    <x:col min="9" max="9" width="67" hidden="0" customWidth="1"/>
  </x:cols>
  <x:sheetData>
    <x:row r="1" ht="29" customHeight="1">
      <x:c r="A1" s="66" t="str">
        <x:v>JOB FAMILY</x:v>
      </x:c>
      <x:c r="B1" s="66" t="str">
        <x:v>WORKFORCE</x:v>
      </x:c>
      <x:c r="C1" s="66" t="str">
        <x:v>EXPOSURE LOW</x:v>
      </x:c>
      <x:c r="D1" s="66" t="str">
        <x:v>EXPOSURE HIGH</x:v>
      </x:c>
      <x:c r="E1" s="66" t="str">
        <x:v>ABSOLUTE WE LOW</x:v>
      </x:c>
      <x:c r="F1" s="66" t="str">
        <x:v>ABSOLUTE WE HIGH</x:v>
      </x:c>
      <x:c r="G1" s="66" t="str">
        <x:v>TIME TO IMPACT</x:v>
      </x:c>
      <x:c r="H1" s="66" t="str">
        <x:v>EVIDENCE</x:v>
      </x:c>
      <x:c r="I1" s="66" t="str">
        <x:v>VALIDATION REQUEST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6" customHeight="1">
      <x:c r="A2" t="str">
        <x:v>Field Metering &amp; Manual Operations</x:v>
      </x:c>
      <x:c r="B2" t="n">
        <x:v>6000</x:v>
      </x:c>
      <x:c r="C2" s="26" t="n">
        <x:v>0.7</x:v>
      </x:c>
      <x:c r="D2" s="26" t="n">
        <x:v>0.7</x:v>
      </x:c>
      <x:c r="E2" s="28" t="n">
        <x:f>B2*C2</x:f>
        <x:v>4200</x:v>
      </x:c>
      <x:c r="F2" s="28" t="n">
        <x:f>B2*D2</x:f>
        <x:v>4200</x:v>
      </x:c>
      <x:c r="G2" t="str">
        <x:v>Within 18 months — BRIEF horizon</x:v>
      </x:c>
      <x:c r="H2" t="str">
        <x:v>BRIEF estimated exposure</x:v>
      </x:c>
      <x:c r="I2" t="str">
        <x:v>Wave 1 — verify task inventory, 6 regions</x:v>
      </x:c>
    </x:row>
    <x:row r="3">
      <x:c r="A3" t="str">
        <x:v>Customer Contact &amp; Service</x:v>
      </x:c>
      <x:c r="B3" t="n">
        <x:v>6500</x:v>
      </x:c>
      <x:c r="C3" s="26" t="n">
        <x:v>0.2</x:v>
      </x:c>
      <x:c r="D3" s="26" t="n">
        <x:v>0.55</x:v>
      </x:c>
      <x:c r="E3" s="28" t="n">
        <x:f>B3*C3</x:f>
        <x:v>1300</x:v>
      </x:c>
      <x:c r="F3" s="28" t="n">
        <x:f>B3*D3</x:f>
        <x:v>3575.0000000000005</x:v>
      </x:c>
      <x:c r="G3" t="str">
        <x:v>24–36 months — SYNTHETIC, unverified</x:v>
      </x:c>
      <x:c r="H3" t="str">
        <x:v>HYPOTHESIS</x:v>
      </x:c>
      <x:c r="I3" t="str">
        <x:v>Validate channel volumes and AI operating plan</x:v>
      </x:c>
    </x:row>
    <x:row r="4">
      <x:c r="A4" t="str">
        <x:v>Billing &amp; Revenue Operations</x:v>
      </x:c>
      <x:c r="B4" t="n">
        <x:v>3800</x:v>
      </x:c>
      <x:c r="C4" s="26" t="n">
        <x:v>0.25</x:v>
      </x:c>
      <x:c r="D4" s="26" t="n">
        <x:v>0.6</x:v>
      </x:c>
      <x:c r="E4" s="28" t="n">
        <x:f>B4*C4</x:f>
        <x:v>950</x:v>
      </x:c>
      <x:c r="F4" s="28" t="n">
        <x:f>B4*D4</x:f>
        <x:v>2280</x:v>
      </x:c>
      <x:c r="G4" t="str">
        <x:v>24–36 months — SYNTHETIC, unverified</x:v>
      </x:c>
      <x:c r="H4" t="str">
        <x:v>HYPOTHESIS</x:v>
      </x:c>
      <x:c r="I4" t="str">
        <x:v>Validate billing exception volumes</x:v>
      </x:c>
    </x:row>
    <x:row r="5">
      <x:c r="A5" t="str">
        <x:v>Finance &amp; Shared Services</x:v>
      </x:c>
      <x:c r="B5" t="n">
        <x:v>4200</x:v>
      </x:c>
      <x:c r="C5" s="26" t="n">
        <x:v>0.2</x:v>
      </x:c>
      <x:c r="D5" s="26" t="n">
        <x:v>0.5</x:v>
      </x:c>
      <x:c r="E5" s="28" t="n">
        <x:f>B5*C5</x:f>
        <x:v>840</x:v>
      </x:c>
      <x:c r="F5" s="28" t="n">
        <x:f>B5*D5</x:f>
        <x:v>2100</x:v>
      </x:c>
      <x:c r="G5" t="str">
        <x:v>24–36 months — SYNTHETIC, unverified</x:v>
      </x:c>
      <x:c r="H5" t="str">
        <x:v>HYPOTHESIS</x:v>
      </x:c>
      <x:c r="I5" t="str">
        <x:v>Validate workflows and controls</x:v>
      </x:c>
    </x:row>
    <x:row r="6">
      <x:c r="A6" t="str">
        <x:v>Asset Maintenance &amp; Inspection</x:v>
      </x:c>
      <x:c r="B6" t="n">
        <x:v>7800</x:v>
      </x:c>
      <x:c r="C6" s="26" t="n">
        <x:v>0.1</x:v>
      </x:c>
      <x:c r="D6" s="26" t="n">
        <x:v>0.35</x:v>
      </x:c>
      <x:c r="E6" s="28" t="n">
        <x:f>B6*C6</x:f>
        <x:v>780</x:v>
      </x:c>
      <x:c r="F6" s="28" t="n">
        <x:f>B6*D6</x:f>
        <x:v>2730</x:v>
      </x:c>
      <x:c r="G6" t="str">
        <x:v>24–36 months — SYNTHETIC, unverified</x:v>
      </x:c>
      <x:c r="H6" t="str">
        <x:v>HYPOTHESIS</x:v>
      </x:c>
      <x:c r="I6" t="str">
        <x:v>Separate inspection evidence from safety authority</x:v>
      </x:c>
    </x:row>
    <x:row r="7">
      <x:c r="A7" t="str">
        <x:v>Network Operations &amp; Monitoring</x:v>
      </x:c>
      <x:c r="B7" t="n">
        <x:v>5900</x:v>
      </x:c>
      <x:c r="C7" s="26" t="n">
        <x:v>0.15</x:v>
      </x:c>
      <x:c r="D7" s="26" t="n">
        <x:v>0.45</x:v>
      </x:c>
      <x:c r="E7" s="28" t="n">
        <x:f>B7*C7</x:f>
        <x:v>885</x:v>
      </x:c>
      <x:c r="F7" s="28" t="n">
        <x:f>B7*D7</x:f>
        <x:v>2655</x:v>
      </x:c>
      <x:c r="G7" t="str">
        <x:v>24–36 months — SYNTHETIC, unverified</x:v>
      </x:c>
      <x:c r="H7" t="str">
        <x:v>HYPOTHESIS</x:v>
      </x:c>
      <x:c r="I7" t="str">
        <x:v>Validate monitoring/exception work</x:v>
      </x:c>
    </x:row>
    <x:row r="8">
      <x:c r="A8" t="str">
        <x:v>Engineering &amp; Technical Planning</x:v>
      </x:c>
      <x:c r="B8" t="n">
        <x:v>4100</x:v>
      </x:c>
      <x:c r="C8" s="26" t="n">
        <x:v>0.1</x:v>
      </x:c>
      <x:c r="D8" s="26" t="n">
        <x:v>0.3</x:v>
      </x:c>
      <x:c r="E8" s="28" t="n">
        <x:f>B8*C8</x:f>
        <x:v>410</x:v>
      </x:c>
      <x:c r="F8" s="28" t="n">
        <x:f>B8*D8</x:f>
        <x:v>1230</x:v>
      </x:c>
      <x:c r="G8" t="str">
        <x:v>24–36 months — SYNTHETIC, unverified</x:v>
      </x:c>
      <x:c r="H8" t="str">
        <x:v>HYPOTHESIS</x:v>
      </x:c>
      <x:c r="I8" t="str">
        <x:v>Assess task mix and technical sign-offs</x:v>
      </x:c>
    </x:row>
    <x:row r="9">
      <x:c r="A9" t="str">
        <x:v>Procurement &amp; Supply Chain</x:v>
      </x:c>
      <x:c r="B9" t="n">
        <x:v>3000</x:v>
      </x:c>
      <x:c r="C9" s="26" t="n">
        <x:v>0.2</x:v>
      </x:c>
      <x:c r="D9" s="26" t="n">
        <x:v>0.5</x:v>
      </x:c>
      <x:c r="E9" s="28" t="n">
        <x:f>B9*C9</x:f>
        <x:v>600</x:v>
      </x:c>
      <x:c r="F9" s="28" t="n">
        <x:f>B9*D9</x:f>
        <x:v>1500</x:v>
      </x:c>
      <x:c r="G9" t="str">
        <x:v>24–36 months — SYNTHETIC, unverified</x:v>
      </x:c>
      <x:c r="H9" t="str">
        <x:v>HYPOTHESIS</x:v>
      </x:c>
      <x:c r="I9" t="str">
        <x:v>Validate transactional vs judgment tasks</x:v>
      </x:c>
    </x:row>
    <x:row r="10">
      <x:c r="A10" t="str">
        <x:v>Safety, Quality &amp; Compliance</x:v>
      </x:c>
      <x:c r="B10" t="n">
        <x:v>2400</x:v>
      </x:c>
      <x:c r="C10" s="26" t="n">
        <x:v>0.05</x:v>
      </x:c>
      <x:c r="D10" s="26" t="n">
        <x:v>0.25</x:v>
      </x:c>
      <x:c r="E10" s="28" t="n">
        <x:f>B10*C10</x:f>
        <x:v>120</x:v>
      </x:c>
      <x:c r="F10" s="28" t="n">
        <x:f>B10*D10</x:f>
        <x:v>600</x:v>
      </x:c>
      <x:c r="G10" t="str">
        <x:v>24–36 months — SYNTHETIC, unverified</x:v>
      </x:c>
      <x:c r="H10" t="str">
        <x:v>HYPOTHESIS</x:v>
      </x:c>
      <x:c r="I10" t="str">
        <x:v>Preserve mandatory human authorization</x:v>
      </x:c>
    </x:row>
    <x:row r="11">
      <x:c r="A11" t="str">
        <x:v>IT, Data &amp; Digital</x:v>
      </x:c>
      <x:c r="B11" t="n">
        <x:v>3600</x:v>
      </x:c>
      <x:c r="C11" s="26" t="n">
        <x:v>0.1</x:v>
      </x:c>
      <x:c r="D11" s="26" t="n">
        <x:v>0.4</x:v>
      </x:c>
      <x:c r="E11" s="28" t="n">
        <x:f>B11*C11</x:f>
        <x:v>360</x:v>
      </x:c>
      <x:c r="F11" s="28" t="n">
        <x:f>B11*D11</x:f>
        <x:v>1440</x:v>
      </x:c>
      <x:c r="G11" t="str">
        <x:v>24–36 months — SYNTHETIC, unverified</x:v>
      </x:c>
      <x:c r="H11" t="str">
        <x:v>HYPOTHESIS</x:v>
      </x:c>
      <x:c r="I11" t="str">
        <x:v>Net demand may grow; exposure ≠ decline</x:v>
      </x:c>
    </x:row>
    <x:row r="12">
      <x:c r="A12" t="str">
        <x:v>People &amp; Corporate Services</x:v>
      </x:c>
      <x:c r="B12" t="n">
        <x:v>3500</x:v>
      </x:c>
      <x:c r="C12" s="26" t="n">
        <x:v>0.15</x:v>
      </x:c>
      <x:c r="D12" s="26" t="n">
        <x:v>0.45</x:v>
      </x:c>
      <x:c r="E12" s="28" t="n">
        <x:f>B12*C12</x:f>
        <x:v>525</x:v>
      </x:c>
      <x:c r="F12" s="28" t="n">
        <x:f>B12*D12</x:f>
        <x:v>1575</x:v>
      </x:c>
      <x:c r="G12" t="str">
        <x:v>24–36 months — SYNTHETIC, unverified</x:v>
      </x:c>
      <x:c r="H12" t="str">
        <x:v>HYPOTHESIS</x:v>
      </x:c>
      <x:c r="I12" t="str">
        <x:v>Review sensitive-work restrictions</x:v>
      </x:c>
    </x:row>
    <x:row r="13">
      <x:c r="A13" t="str">
        <x:v>Leadership &amp; Regional Management</x:v>
      </x:c>
      <x:c r="B13" t="n">
        <x:v>1200</x:v>
      </x:c>
      <x:c r="C13" s="26" t="n">
        <x:v>0.05</x:v>
      </x:c>
      <x:c r="D13" s="26" t="n">
        <x:v>0.25</x:v>
      </x:c>
      <x:c r="E13" s="28" t="n">
        <x:f>B13*C13</x:f>
        <x:v>60</x:v>
      </x:c>
      <x:c r="F13" s="28" t="n">
        <x:f>B13*D13</x:f>
        <x:v>300</x:v>
      </x:c>
      <x:c r="G13" t="str">
        <x:v>24–36 months — SYNTHETIC, unverified</x:v>
      </x:c>
      <x:c r="H13" t="str">
        <x:v>HYPOTHESIS</x:v>
      </x:c>
      <x:c r="I13" t="str">
        <x:v>Review decision/accountability tasks</x:v>
      </x:c>
    </x:row>
    <x:row r="14">
      <x:c r="A14" t="str">
        <x:v>TOTAL (synthetic allocation)</x:v>
      </x:c>
      <x:c r="B14" t="n">
        <x:f>SUM(B2:B13)</x:f>
        <x:v>52000</x:v>
      </x:c>
      <x:c r="C14"/>
      <x:c r="D14"/>
      <x:c r="E14" s="28" t="n">
        <x:f>SUM(E2:E13)</x:f>
        <x:v>11030</x:v>
      </x:c>
      <x:c r="F14" s="28" t="n">
        <x:f>SUM(F2:F13)</x:f>
        <x:v>24185</x:v>
      </x:c>
    </x:row>
    <x:row r="16">
      <x:c r="A16" t="str">
        <x:v>No job-family exposure outside Field Metering is Client-validated. Different impact timelines; totals are NOT displacement forecast.</x:v>
      </x:c>
      <x:c r="B16"/>
      <x:c r="C16"/>
      <x:c r="D16"/>
      <x:c r="E16"/>
      <x:c r="F16"/>
      <x:c r="G16"/>
      <x:c r="H16"/>
      <x:c r="I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3" hidden="0" customWidth="1"/>
    <x:col min="2" max="2" width="21" hidden="0" customWidth="1"/>
    <x:col min="3" max="3" width="34" hidden="0" customWidth="1"/>
    <x:col min="4" max="4" width="77" hidden="0" customWidth="1"/>
    <x:col min="5" max="5" width="80" hidden="0" customWidth="1"/>
  </x:cols>
  <x:sheetData>
    <x:row r="1" ht="29" customHeight="1">
      <x:c r="A1" s="66" t="str">
        <x:v>COST LINE / DECISION</x:v>
      </x:c>
      <x:c r="B1" s="66" t="str">
        <x:v>VALUE / Rp m</x:v>
      </x:c>
      <x:c r="C1" s="66" t="str">
        <x:v>TYPE / EVIDENCE</x:v>
      </x:c>
      <x:c r="D1" s="66" t="str">
        <x:v>SCOPE &amp; OWNERSHIP</x:v>
      </x:c>
      <x:c r="E1" s="66" t="str">
        <x:v>BOARD INTERPRETATION</x:v>
      </x:c>
    </x:row>
    <x:row r="2" ht="24" customHeight="1">
      <x:c r="A2" s="76" t="str">
        <x:v>A. COMMITTED / ILLUSTRATIVE CASH ENVELOPE</x:v>
      </x:c>
      <x:c r="B2" s="81"/>
      <x:c r="C2" s="76" t="str"/>
      <x:c r="D2" s="76"/>
      <x:c r="E2" s="76"/>
    </x:row>
    <x:row r="3">
      <x:c r="A3" t="str">
        <x:v>Rakamin consulting fee</x:v>
      </x:c>
      <x:c r="B3" s="56" t="n">
        <x:f>Assumptions!B9</x:f>
        <x:v>3500</x:v>
      </x:c>
      <x:c r="C3" t="str">
        <x:v>BRIEF — contract fee</x:v>
      </x:c>
      <x:c r="D3" t="str">
        <x:v>12-month engagement</x:v>
      </x:c>
      <x:c r="E3" t="str">
        <x:v>Already stated in brief; not a new funding approval</x:v>
      </x:c>
    </x:row>
    <x:row r="4">
      <x:c r="A4" t="str">
        <x:v>Incremental implementation Y1</x:v>
      </x:c>
      <x:c r="B4" s="56" t="n">
        <x:f>Assumptions!B10</x:f>
        <x:v>1500</x:v>
      </x:c>
      <x:c r="C4" t="str">
        <x:v>SYNTHETIC cash allowance</x:v>
      </x:c>
      <x:c r="D4" t="str">
        <x:v>Scope TBD; integration, assessment, governance</x:v>
      </x:c>
      <x:c r="E4" t="str">
        <x:v>Must verify which activities already included in fee</x:v>
      </x:c>
    </x:row>
    <x:row r="5">
      <x:c r="A5" t="str">
        <x:v>Support Y2</x:v>
      </x:c>
      <x:c r="B5" s="56" t="n">
        <x:f>Assumptions!B11</x:f>
        <x:v>500</x:v>
      </x:c>
      <x:c r="C5" t="str">
        <x:v>SYNTHETIC cash allowance</x:v>
      </x:c>
      <x:c r="D5" t="str">
        <x:v>Assumed post-year-1 support</x:v>
      </x:c>
      <x:c r="E5" t="str">
        <x:v>Not a Client purchase order</x:v>
      </x:c>
    </x:row>
    <x:row r="6">
      <x:c r="A6" t="str">
        <x:v>Support Y3</x:v>
      </x:c>
      <x:c r="B6" s="56" t="n">
        <x:f>Assumptions!B12</x:f>
        <x:v>500</x:v>
      </x:c>
      <x:c r="C6" t="str">
        <x:v>SYNTHETIC cash allowance</x:v>
      </x:c>
      <x:c r="D6" t="str">
        <x:v>Assumed post-year-2 support</x:v>
      </x:c>
      <x:c r="E6" t="str">
        <x:v>Not a Client purchase order</x:v>
      </x:c>
    </x:row>
    <x:row r="7">
      <x:c r="A7" t="str">
        <x:v>Illustrative 36-month cash envelope</x:v>
      </x:c>
      <x:c r="B7" s="56" t="n">
        <x:f>SUM(B3:B6)</x:f>
        <x:v>6000</x:v>
      </x:c>
      <x:c r="C7" t="str">
        <x:v>DERIVED; NOT APPROVED TCO</x:v>
      </x:c>
      <x:c r="D7" t="str">
        <x:v>Excludes unknown licences, travel, mobility and full assessments</x:v>
      </x:c>
      <x:c r="E7" t="str">
        <x:v>This Rp6B is scenario denominator, NOT fully scoped TCO</x:v>
      </x:c>
    </x:row>
    <x:row r="8">
      <x:c r="A8" t="str">
        <x:v>M1–M3 allocated spend</x:v>
      </x:c>
      <x:c r="B8" s="56" t="n">
        <x:f>B3/12*3+B4/12*3</x:f>
        <x:v>1250</x:v>
      </x:c>
      <x:c r="C8" t="str">
        <x:v>MODEL TIMING ASSUMPTION</x:v>
      </x:c>
      <x:c r="D8" t="str">
        <x:v>Fee 3,500/12*3 + impl 1,500/12*3</x:v>
      </x:c>
      <x:c r="E8" t="str">
        <x:v>Illustrative 90-day allocation; committed portion ≠ additional release</x:v>
      </x:c>
    </x:row>
    <x:row r="9">
      <x:c r="A9" t="str">
        <x:v>of which already-specified engagement fee</x:v>
      </x:c>
      <x:c r="B9" s="56" t="n">
        <x:f>B3/12*3</x:f>
        <x:v>875</x:v>
      </x:c>
      <x:c r="C9" t="str">
        <x:v>BRIEF COMMITMENT</x:v>
      </x:c>
      <x:c r="D9" t="str">
        <x:v>875 = 3/12 of fee</x:v>
      </x:c>
      <x:c r="E9" t="str">
        <x:v>Do not seek same fee twice</x:v>
      </x:c>
    </x:row>
    <x:row r="10">
      <x:c r="A10" t="str">
        <x:v>of which incremental implementation allowance</x:v>
      </x:c>
      <x:c r="B10" s="56" t="n">
        <x:f>B4/12*3</x:f>
        <x:v>375</x:v>
      </x:c>
      <x:c r="C10" t="str">
        <x:v>SYNTHETIC; APPROVAL NEEDED</x:v>
      </x:c>
      <x:c r="D10" t="str">
        <x:v>375 = 3/12 of implementation</x:v>
      </x:c>
      <x:c r="E10" t="str">
        <x:v>Subject to procurement scope + milestone gate</x:v>
      </x:c>
    </x:row>
    <x:row r="11" ht="24" customHeight="1">
      <x:c r="A11" s="76" t="str">
        <x:v>B. CAPABILITY ADOPTION — DISTINCT RESOURCE VALUATION</x:v>
      </x:c>
      <x:c r="B11" s="81"/>
      <x:c r="C11" s="76" t="str"/>
      <x:c r="D11" s="76"/>
      <x:c r="E11" s="76"/>
    </x:row>
    <x:row r="12">
      <x:c r="A12" t="str">
        <x:v>Hybrid capability adoption workload estimate</x:v>
      </x:c>
      <x:c r="B12" s="48" t="n">
        <x:f>'Adoption Workings'!I13</x:f>
        <x:v>3787.5</x:v>
      </x:c>
      <x:c r="C12" t="str">
        <x:v>SYNTHETIC RESOURCE COST</x:v>
      </x:c>
      <x:c r="D12" t="str">
        <x:v>1,800 title screening, 200 archetypes, 500 voluntary assessments</x:v>
      </x:c>
      <x:c r="E12" t="str">
        <x:v>Not an invoice or automatic addition</x:v>
      </x:c>
    </x:row>
    <x:row r="13">
      <x:c r="A13" t="str">
        <x:v>Assumed incremental share outside Rp6B envelope</x:v>
      </x:c>
      <x:c r="B13" s="51" t="n">
        <x:v>0.5</x:v>
      </x:c>
      <x:c r="C13" t="str">
        <x:v>ILLUSTRATIVE STRESS ONLY</x:v>
      </x:c>
      <x:c r="D13" t="str">
        <x:v>0–100%; Finance + staffing plan must substantiate</x:v>
      </x:c>
      <x:c r="E13" t="str">
        <x:v>May include Client staff time (noncash)</x:v>
      </x:c>
    </x:row>
    <x:row r="14">
      <x:c r="A14" t="str">
        <x:v>Potential uncovered resource valuation</x:v>
      </x:c>
      <x:c r="B14" s="48" t="n">
        <x:f>B12*B13</x:f>
        <x:v>1893.75</x:v>
      </x:c>
      <x:c r="C14" t="str">
        <x:v>SENSITIVITY, NOT VERIFIED CASH</x:v>
      </x:c>
      <x:c r="D14" t="str">
        <x:v>Assumption × estimated effort</x:v>
      </x:c>
      <x:c r="E14" t="str">
        <x:v>Cannot automatically use as cash cost</x:v>
      </x:c>
    </x:row>
    <x:row r="15">
      <x:c r="A15" t="str">
        <x:v>Minimum scenario cost if all effort included</x:v>
      </x:c>
      <x:c r="B15" s="48" t="n">
        <x:f>B7</x:f>
        <x:v>6000</x:v>
      </x:c>
      <x:c r="C15" t="str">
        <x:v>SCENARIO, NOT VALIDATED TCO</x:v>
      </x:c>
      <x:c r="D15" t="str">
        <x:v>100% effort covered by cash envelope</x:v>
      </x:c>
      <x:c r="E15" t="str">
        <x:v>Does not prove actual coverage</x:v>
      </x:c>
    </x:row>
    <x:row r="16">
      <x:c r="A16" t="str">
        <x:v>Stress-test total if all uncovered treated as incremental cash</x:v>
      </x:c>
      <x:c r="B16" s="48" t="n">
        <x:f>B7+B12</x:f>
        <x:v>9787.5</x:v>
      </x:c>
      <x:c r="C16" t="str">
        <x:v>STRONG ASSUMPTION ONLY</x:v>
      </x:c>
      <x:c r="D16" t="str">
        <x:v>0% covered AND all uncovered becomes cash outlay</x:v>
      </x:c>
      <x:c r="E16" t="str">
        <x:v>Not a funding recommendation</x:v>
      </x:c>
    </x:row>
    <x:row r="17" ht="24" customHeight="1">
      <x:c r="A17" s="76" t="str">
        <x:v>C. CASH BREAK-EVEN — VENDOR SAVINGS ONLY</x:v>
      </x:c>
      <x:c r="B17" s="81"/>
      <x:c r="C17" s="76" t="str"/>
      <x:c r="D17" s="76"/>
      <x:c r="E17" s="76"/>
    </x:row>
    <x:row r="18">
      <x:c r="A18" t="str">
        <x:v>Avoidable vendor unit value</x:v>
      </x:c>
      <x:c r="B18" s="56" t="n">
        <x:f>Assumptions!B13</x:f>
        <x:v>6</x:v>
      </x:c>
      <x:c r="C18" t="str">
        <x:v>SYNTHETIC SENSITIVITY</x:v>
      </x:c>
      <x:c r="D18" t="str">
        <x:v>No contractor baseline in brief</x:v>
      </x:c>
      <x:c r="E18" t="str">
        <x:v>Not verified procurement spend</x:v>
      </x:c>
    </x:row>
    <x:row r="19">
      <x:c r="A19" t="str">
        <x:v>Available candidate vendor FTE-months by M36</x:v>
      </x:c>
      <x:c r="B19" s="56" t="n">
        <x:f>'Cash &amp; ROI'!B9</x:f>
        <x:v>3900</x:v>
      </x:c>
      <x:c r="C19" t="str">
        <x:v>SYNTHETIC POTENTIAL</x:v>
      </x:c>
      <x:c r="D19" t="str">
        <x:v>Not all may be avoidable or incremental</x:v>
      </x:c>
      <x:c r="E19" t="str">
        <x:v>Requires contract expiry/cancellation validation</x:v>
      </x:c>
    </x:row>
    <x:row r="20">
      <x:c r="A20" t="str">
        <x:v>Fee-only FTE-months required</x:v>
      </x:c>
      <x:c r="B20" s="48" t="n">
        <x:f>IFERROR(B3/(B18*'Assumptions'!B29),0)</x:f>
        <x:v>583.3333333333334</x:v>
      </x:c>
      <x:c r="C20" t="str">
        <x:v>DERIVED HURDLE</x:v>
      </x:c>
      <x:c r="D20" t="str">
        <x:v>Fee / Rp6m</x:v>
      </x:c>
      <x:c r="E20" t="str">
        <x:v>Ignores additional delivery spend</x:v>
      </x:c>
    </x:row>
    <x:row r="21">
      <x:c r="A21" t="str">
        <x:v>Rp6B envelope FTE-months required</x:v>
      </x:c>
      <x:c r="B21" s="48" t="n">
        <x:f>IFERROR(B7/(B18*'Assumptions'!B29),0)</x:f>
        <x:v>1000</x:v>
      </x:c>
      <x:c r="C21" t="str">
        <x:v>DERIVED HURDLE</x:v>
      </x:c>
      <x:c r="D21" t="str">
        <x:v>Cash envelope / Rp6m</x:v>
      </x:c>
      <x:c r="E21" t="str">
        <x:v>Only where verified avoidable contracts</x:v>
      </x:c>
    </x:row>
    <x:row r="22">
      <x:c r="A22" t="str">
        <x:v>Price needed at full 3,900 volume</x:v>
      </x:c>
      <x:c r="B22" s="49" t="n">
        <x:f>IFERROR(B7/(B19*'Assumptions'!B29),0)</x:f>
        <x:v>1.5384615384615385</x:v>
      </x:c>
      <x:c r="C22" t="str">
        <x:v>DERIVED HURDLE</x:v>
      </x:c>
      <x:c r="D22" t="str">
        <x:v>Cash envelope / potential volume</x:v>
      </x:c>
      <x:c r="E22" t="str">
        <x:v>Rp m per FTE-month; not actual price</x:v>
      </x:c>
    </x:row>
    <x:row r="23">
      <x:c r="A23" t="str">
        <x:v>Stress-test required FTE-months if all effort incremental</x:v>
      </x:c>
      <x:c r="B23" s="48" t="n">
        <x:f>IFERROR(B16/(B18*'Assumptions'!B29),0)</x:f>
        <x:v>1631.25</x:v>
      </x:c>
      <x:c r="C23" t="str">
        <x:v>SENSITIVITY ONLY</x:v>
      </x:c>
      <x:c r="D23" t="str">
        <x:v>Stress total / unit value</x:v>
      </x:c>
      <x:c r="E23" t="str">
        <x:v>Shows cost scope risk</x:v>
      </x:c>
    </x:row>
    <x:row r="24" ht="24" customHeight="1">
      <x:c r="A24" s="76" t="str">
        <x:v>D. BOARD GUARDRAILS</x:v>
      </x:c>
      <x:c r="B24" s="81"/>
      <x:c r="C24" s="76" t="str"/>
      <x:c r="D24" s="76"/>
      <x:c r="E24" s="76"/>
    </x:row>
    <x:row r="25">
      <x:c r="A25" t="str">
        <x:v>Excluded from quantification</x:v>
      </x:c>
      <x:c r="B25" s="48"/>
      <x:c r="C25" t="str">
        <x:v>NOT MODELLED</x:v>
      </x:c>
      <x:c r="D25" t="str">
        <x:v>Full training, field mobility, travel, licences, Client staff time</x:v>
      </x:c>
      <x:c r="E25" t="str">
        <x:v>Do not claim programme TCO final</x:v>
      </x:c>
    </x:row>
    <x:row r="26">
      <x:c r="A26" t="str">
        <x:v>Return to validate</x:v>
      </x:c>
      <x:c r="B26"/>
      <x:c r="C26" t="str">
        <x:v>EVIDENCE REQUEST</x:v>
      </x:c>
      <x:c r="D26" t="str">
        <x:v>Finance cost map; vendor avoidability; Operations output unit; Legal CBA</x:v>
      </x:c>
      <x:c r="E26" t="str">
        <x:v>Scale release requires verified incremental economics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19" hidden="0" customWidth="1"/>
    <x:col min="8" max="8" width="19" hidden="0" customWidth="1"/>
    <x:col min="9" max="9" width="19" hidden="0" customWidth="1"/>
    <x:col min="10" max="10" width="92" hidden="0" customWidth="1"/>
  </x:cols>
  <x:sheetData>
    <x:row r="1" ht="29" customHeight="1">
      <x:c r="A1" s="66" t="str">
        <x:v>COMPONENT</x:v>
      </x:c>
      <x:c r="B1" s="66" t="str">
        <x:v>UNITS</x:v>
      </x:c>
      <x:c r="C1" s="66" t="str">
        <x:v>AS-IS DAYS/UNIT</x:v>
      </x:c>
      <x:c r="D1" s="66" t="str">
        <x:v>BESPOKE DAYS/UNIT</x:v>
      </x:c>
      <x:c r="E1" s="66" t="str">
        <x:v>HYBRID DAYS/UNIT</x:v>
      </x:c>
      <x:c r="F1" s="66" t="str">
        <x:v>RATE Rp m / DAY</x:v>
      </x:c>
      <x:c r="G1" s="66" t="str">
        <x:v>ADOPT Rp m</x:v>
      </x:c>
      <x:c r="H1" s="66" t="str">
        <x:v>BESPOKE Rp m</x:v>
      </x:c>
      <x:c r="I1" s="66" t="str">
        <x:v>HYBRID Rp m</x:v>
      </x:c>
      <x:c r="J1" s="66" t="str">
        <x:v>EVIDENCE / LIMIT</x:v>
      </x:c>
    </x:row>
    <x:row r="2" ht="26" customHeight="1">
      <x:c r="A2" t="str">
        <x:v>Title screening analysts</x:v>
      </x:c>
      <x:c r="B2" s="89" t="n">
        <x:v>1800</x:v>
      </x:c>
      <x:c r="C2" s="89" t="n">
        <x:v>0.08</x:v>
      </x:c>
      <x:c r="D2" s="89" t="n">
        <x:v>0.14</x:v>
      </x:c>
      <x:c r="E2" s="89" t="n">
        <x:v>0.1</x:v>
      </x:c>
      <x:c r="F2" s="89" t="n">
        <x:v>2</x:v>
      </x:c>
      <x:c r="G2" s="48" t="n">
        <x:f>B2*C2*F2</x:f>
        <x:v>288</x:v>
      </x:c>
      <x:c r="H2" s="48" t="n">
        <x:f>B2*D2*F2</x:f>
        <x:v>504.00000000000006</x:v>
      </x:c>
      <x:c r="I2" s="48" t="n">
        <x:f>B2*E2*F2</x:f>
        <x:v>360</x:v>
      </x:c>
      <x:c r="J2" t="str">
        <x:v>Hypothetical 1,800-title inventory; no actual title/task audit</x:v>
      </x:c>
    </x:row>
    <x:row r="3">
      <x:c r="A3" t="str">
        <x:v>Title SME review</x:v>
      </x:c>
      <x:c r="B3" s="89" t="n">
        <x:v>180</x:v>
      </x:c>
      <x:c r="C3" s="89" t="n">
        <x:v>0.25</x:v>
      </x:c>
      <x:c r="D3" s="89" t="n">
        <x:v>0.5</x:v>
      </x:c>
      <x:c r="E3" s="89" t="n">
        <x:v>0.25</x:v>
      </x:c>
      <x:c r="F3" s="89" t="n">
        <x:v>3</x:v>
      </x:c>
      <x:c r="G3" s="48" t="n">
        <x:f>B3*C3*F3</x:f>
        <x:v>135</x:v>
      </x:c>
      <x:c r="H3" s="48" t="n">
        <x:f>B3*D3*F3</x:f>
        <x:v>270</x:v>
      </x:c>
      <x:c r="I3" s="48" t="n">
        <x:f>B3*E3*F3</x:f>
        <x:v>135</x:v>
      </x:c>
      <x:c r="J3" t="str">
        <x:v>Illustrative 10% audit sample; risk-based oversampling needed</x:v>
      </x:c>
    </x:row>
    <x:row r="4">
      <x:c r="A4" t="str">
        <x:v>Archetype analysts</x:v>
      </x:c>
      <x:c r="B4" s="89" t="n">
        <x:v>200</x:v>
      </x:c>
      <x:c r="C4" s="89" t="n">
        <x:v>1</x:v>
      </x:c>
      <x:c r="D4" s="89" t="n">
        <x:v>2.5</x:v>
      </x:c>
      <x:c r="E4" s="89" t="n">
        <x:v>1.5</x:v>
      </x:c>
      <x:c r="F4" s="89" t="n">
        <x:v>2</x:v>
      </x:c>
      <x:c r="G4" s="48" t="n">
        <x:f>B4*C4*F4</x:f>
        <x:v>400</x:v>
      </x:c>
      <x:c r="H4" s="48" t="n">
        <x:f>B4*D4*F4</x:f>
        <x:v>1000</x:v>
      </x:c>
      <x:c r="I4" s="48" t="n">
        <x:f>B4*E4*F4</x:f>
        <x:v>600</x:v>
      </x:c>
      <x:c r="J4" t="str">
        <x:v>200 is not measured; must be calibrated against actual tasks</x:v>
      </x:c>
    </x:row>
    <x:row r="5">
      <x:c r="A5" t="str">
        <x:v>Archetype SME reviews</x:v>
      </x:c>
      <x:c r="B5" s="89" t="n">
        <x:v>200</x:v>
      </x:c>
      <x:c r="C5" s="89" t="n">
        <x:v>0.6</x:v>
      </x:c>
      <x:c r="D5" s="89" t="n">
        <x:v>1.5</x:v>
      </x:c>
      <x:c r="E5" s="89" t="n">
        <x:v>1</x:v>
      </x:c>
      <x:c r="F5" s="89" t="n">
        <x:v>3</x:v>
      </x:c>
      <x:c r="G5" s="48" t="n">
        <x:f>B5*C5*F5</x:f>
        <x:v>360</x:v>
      </x:c>
      <x:c r="H5" s="48" t="n">
        <x:f>B5*D5*F5</x:f>
        <x:v>900</x:v>
      </x:c>
      <x:c r="I5" s="48" t="n">
        <x:f>B5*E5*F5</x:f>
        <x:v>600</x:v>
      </x:c>
      <x:c r="J5" t="str">
        <x:v>Validated per-role task patterns required</x:v>
      </x:c>
    </x:row>
    <x:row r="6">
      <x:c r="A6" t="str">
        <x:v>Task band analysts</x:v>
      </x:c>
      <x:c r="B6" s="89" t="n">
        <x:v>200</x:v>
      </x:c>
      <x:c r="C6" s="89" t="n">
        <x:v>0.25</x:v>
      </x:c>
      <x:c r="D6" s="89" t="n">
        <x:v>1</x:v>
      </x:c>
      <x:c r="E6" s="89" t="n">
        <x:v>0.75</x:v>
      </x:c>
      <x:c r="F6" s="89" t="n">
        <x:v>2</x:v>
      </x:c>
      <x:c r="G6" s="48" t="n">
        <x:f>B6*C6*F6</x:f>
        <x:v>100</x:v>
      </x:c>
      <x:c r="H6" s="48" t="n">
        <x:f>B6*D6*F6</x:f>
        <x:v>400</x:v>
      </x:c>
      <x:c r="I6" s="48" t="n">
        <x:f>B6*E6*F6</x:f>
        <x:v>300</x:v>
      </x:c>
      <x:c r="J6" t="str">
        <x:v>Observable bands, task-specific; not grade replacement</x:v>
      </x:c>
    </x:row>
    <x:row r="7">
      <x:c r="A7" t="str">
        <x:v>Task band SME</x:v>
      </x:c>
      <x:c r="B7" s="89" t="n">
        <x:v>200</x:v>
      </x:c>
      <x:c r="C7" s="89" t="n">
        <x:v>0.25</x:v>
      </x:c>
      <x:c r="D7" s="89" t="n">
        <x:v>0.75</x:v>
      </x:c>
      <x:c r="E7" s="89" t="n">
        <x:v>0.5</x:v>
      </x:c>
      <x:c r="F7" s="89" t="n">
        <x:v>3</x:v>
      </x:c>
      <x:c r="G7" s="48" t="n">
        <x:f>B7*C7*F7</x:f>
        <x:v>150</x:v>
      </x:c>
      <x:c r="H7" s="48" t="n">
        <x:f>B7*D7*F7</x:f>
        <x:v>450</x:v>
      </x:c>
      <x:c r="I7" s="48" t="n">
        <x:f>B7*E7*F7</x:f>
        <x:v>300</x:v>
      </x:c>
      <x:c r="J7" t="str">
        <x:v>Safety authority reviewed separately</x:v>
      </x:c>
    </x:row>
    <x:row r="8">
      <x:c r="A8" t="str">
        <x:v>Identity reconciliation / stewards</x:v>
      </x:c>
      <x:c r="B8" s="89" t="n">
        <x:v>1</x:v>
      </x:c>
      <x:c r="C8" s="89" t="n">
        <x:v>520</x:v>
      </x:c>
      <x:c r="D8" s="89" t="n">
        <x:v>520</x:v>
      </x:c>
      <x:c r="E8" s="89" t="n">
        <x:v>520</x:v>
      </x:c>
      <x:c r="F8" s="89" t="n">
        <x:v>1</x:v>
      </x:c>
      <x:c r="G8" s="48" t="n">
        <x:f>B8*C8*F8</x:f>
        <x:v>520</x:v>
      </x:c>
      <x:c r="H8" s="48" t="n">
        <x:f>B8*D8*F8</x:f>
        <x:v>520</x:v>
      </x:c>
      <x:c r="I8" s="48" t="n">
        <x:f>B8*E8*F8</x:f>
        <x:v>520</x:v>
      </x:c>
      <x:c r="J8" t="str">
        <x:v>520 assumed steward person-days × Rp1m/day. All 3 options use this same resource valuation; no second staffing/rate assumption included.</x:v>
      </x:c>
    </x:row>
    <x:row r="9">
      <x:c r="A9" t="str">
        <x:v>Voluntary assessments</x:v>
      </x:c>
      <x:c r="B9" s="89" t="n">
        <x:v>500</x:v>
      </x:c>
      <x:c r="C9" s="89" t="n">
        <x:v>0.3125</x:v>
      </x:c>
      <x:c r="D9" s="89" t="n">
        <x:v>0.3125</x:v>
      </x:c>
      <x:c r="E9" s="89" t="n">
        <x:v>0.3125</x:v>
      </x:c>
      <x:c r="F9" s="89" t="n">
        <x:v>2</x:v>
      </x:c>
      <x:c r="G9" s="48" t="n">
        <x:f>B9*C9*F9</x:f>
        <x:v>312.5</x:v>
      </x:c>
      <x:c r="H9" s="48" t="n">
        <x:f>B9*D9*F9</x:f>
        <x:v>312.5</x:v>
      </x:c>
      <x:c r="I9" s="48" t="n">
        <x:f>B9*E9*F9</x:f>
        <x:v>312.5</x:v>
      </x:c>
      <x:c r="J9" t="str">
        <x:v>2.5 hours each / 8-hour day; consent protocol</x:v>
      </x:c>
    </x:row>
    <x:row r="10">
      <x:c r="A10" t="str">
        <x:v>Governance / union engagement</x:v>
      </x:c>
      <x:c r="B10" s="89" t="n">
        <x:v>60</x:v>
      </x:c>
      <x:c r="C10" s="89" t="n">
        <x:v>1</x:v>
      </x:c>
      <x:c r="D10" s="89" t="n">
        <x:v>1</x:v>
      </x:c>
      <x:c r="E10" s="89" t="n">
        <x:v>1</x:v>
      </x:c>
      <x:c r="F10" s="89" t="n">
        <x:v>2</x:v>
      </x:c>
      <x:c r="G10" s="48" t="n">
        <x:f>B10*C10*F10</x:f>
        <x:v>120</x:v>
      </x:c>
      <x:c r="H10" s="48" t="n">
        <x:f>B10*D10*F10</x:f>
        <x:v>120</x:v>
      </x:c>
      <x:c r="I10" s="48" t="n">
        <x:f>B10*E10*F10</x:f>
        <x:v>120</x:v>
      </x:c>
      <x:c r="J10" t="str">
        <x:v>60 person-days; excludes member time and Ministry follow-ups</x:v>
      </x:c>
    </x:row>
    <x:row r="11">
      <x:c r="A11" t="str">
        <x:v>Integration and configuration</x:v>
      </x:c>
      <x:c r="B11" s="89" t="n">
        <x:v>180</x:v>
      </x:c>
      <x:c r="C11" s="89" t="n">
        <x:v>1</x:v>
      </x:c>
      <x:c r="D11" s="89" t="n">
        <x:v>1</x:v>
      </x:c>
      <x:c r="E11" s="89" t="n">
        <x:v>1</x:v>
      </x:c>
      <x:c r="F11" s="89" t="n">
        <x:v>3</x:v>
      </x:c>
      <x:c r="G11" s="48" t="n">
        <x:f>B11*C11*F11</x:f>
        <x:v>540</x:v>
      </x:c>
      <x:c r="H11" s="48" t="n">
        <x:f>B11*D11*F11</x:f>
        <x:v>540</x:v>
      </x:c>
      <x:c r="I11" s="48" t="n">
        <x:f>B11*E11*F11</x:f>
        <x:v>540</x:v>
      </x:c>
      <x:c r="J11" t="str">
        <x:v>180 specialist days, not software vendor quotation</x:v>
      </x:c>
    </x:row>
    <x:row r="12" ht="24" customHeight="1">
      <x:c r="A12" s="76" t="str">
        <x:v>SCOPE EXCLUSIONS</x:v>
      </x:c>
      <x:c r="B12" s="76"/>
      <x:c r="C12" s="76"/>
      <x:c r="D12" s="76"/>
      <x:c r="E12" s="76"/>
      <x:c r="F12" s="76"/>
      <x:c r="G12" s="81"/>
      <x:c r="H12" s="81"/>
      <x:c r="I12" s="81"/>
      <x:c r="J12" s="76" t="str">
        <x:v>No licence, travel, full training, relocation, future 52k assessments; resource value may include Client in-kind time</x:v>
      </x:c>
    </x:row>
    <x:row r="13" ht="24" customHeight="1">
      <x:c r="A13" s="76" t="str">
        <x:v>TOTAL ILLUSTRATIVE RESOURCE EFFORT</x:v>
      </x:c>
      <x:c r="B13" s="76"/>
      <x:c r="C13" s="76"/>
      <x:c r="D13" s="76"/>
      <x:c r="E13" s="76"/>
      <x:c r="F13" s="76"/>
      <x:c r="G13" s="81" t="n">
        <x:f>SUM(G2:G11)</x:f>
        <x:v>2925.5</x:v>
      </x:c>
      <x:c r="H13" s="81" t="n">
        <x:f>SUM(H2:H11)</x:f>
        <x:v>5016.5</x:v>
      </x:c>
      <x:c r="I13" s="81" t="n">
        <x:f>SUM(I2:I11)</x:f>
        <x:v>3787.5</x:v>
      </x:c>
      <x:c r="J13" s="7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25" hidden="0" customWidth="1"/>
    <x:col min="3" max="3" width="40" hidden="0" customWidth="1"/>
    <x:col min="4" max="4" width="91" hidden="0" customWidth="1"/>
    <x:col min="5" max="5" width="64" hidden="0" customWidth="1"/>
  </x:cols>
  <x:sheetData>
    <x:row r="1" ht="29" customHeight="1">
      <x:c r="A1" s="66" t="str">
        <x:v>COUNTERFACTUAL / HURDLE</x:v>
      </x:c>
      <x:c r="B1" s="66" t="str">
        <x:v>VALUE / Rp m or units</x:v>
      </x:c>
      <x:c r="C1" s="66" t="str">
        <x:v>CLASSIFICATION</x:v>
      </x:c>
      <x:c r="D1" s="66" t="str">
        <x:v>BOARD INTERPRETATION</x:v>
      </x:c>
      <x:c r="E1" s="66" t="str">
        <x:v>SOURCE / TEST</x:v>
      </x:c>
    </x:row>
    <x:row r="2" ht="24" customHeight="1">
      <x:c r="A2" s="76" t="str">
        <x:v>A. COST OF WAITING (TRANSITION 12 MONTHS LATER)</x:v>
      </x:c>
      <x:c r="B2" s="76"/>
      <x:c r="C2" s="76" t="str"/>
      <x:c r="D2" s="76" t="str">
        <x:v>Automation remains on current rollout; no claimed savings from delaying automation</x:v>
      </x:c>
      <x:c r="E2" s="76" t="str"/>
    </x:row>
    <x:row r="3">
      <x:c r="A3" t="str">
        <x:v>Extra unresolved pressure, first 12 months</x:v>
      </x:c>
      <x:c r="B3" s="60" t="n">
        <x:f>'Wait Comparator'!B7</x:f>
        <x:v>1404</x:v>
      </x:c>
      <x:c r="C3" t="str">
        <x:v>WE-months, MODEL-DERIVED</x:v>
      </x:c>
      <x:c r="D3" t="str">
        <x:v>Gap pressure, not automatic cash cost</x:v>
      </x:c>
      <x:c r="E3" t="str">
        <x:v>Wait Comparator!B7</x:v>
      </x:c>
    </x:row>
    <x:row r="4">
      <x:c r="A4" t="str">
        <x:v>Extra unresolved pressure through M36</x:v>
      </x:c>
      <x:c r="B4" s="60" t="n">
        <x:f>'Wait Comparator'!B14</x:f>
        <x:v>7020</x:v>
      </x:c>
      <x:c r="C4" t="str">
        <x:v>WE-months, MODEL-DERIVED</x:v>
      </x:c>
      <x:c r="D4" t="str">
        <x:v>Cumulative difference in unresolved pressure</x:v>
      </x:c>
      <x:c r="E4" t="str">
        <x:v>Wait Comparator!B14</x:v>
      </x:c>
    </x:row>
    <x:row r="5">
      <x:c r="A5" t="str">
        <x:v>Lost potential contractor substitution through M36</x:v>
      </x:c>
      <x:c r="B5" s="60" t="n">
        <x:f>'Wait Comparator'!B15</x:f>
        <x:v>1872</x:v>
      </x:c>
      <x:c r="C5" t="str">
        <x:v>FTE-months, MODEL-DERIVED</x:v>
      </x:c>
      <x:c r="D5" t="str">
        <x:v>Cash only where vendor contracts avoidable; not in brief</x:v>
      </x:c>
      <x:c r="E5" t="str">
        <x:v>Wait Comparator!B15</x:v>
      </x:c>
    </x:row>
    <x:row r="6">
      <x:c r="A6" t="str">
        <x:v>Lost potential nonvendor productive work through M36</x:v>
      </x:c>
      <x:c r="B6" s="60" t="n">
        <x:f>'Wait Comparator'!B16</x:f>
        <x:v>5148</x:v>
      </x:c>
      <x:c r="C6" t="str">
        <x:v>FTE-months, MODEL-DERIVED</x:v>
      </x:c>
      <x:c r="D6" t="str">
        <x:v>Economic output, not cash and no salary proxy</x:v>
      </x:c>
      <x:c r="E6" t="str">
        <x:v>Wait Comparator!B16</x:v>
      </x:c>
    </x:row>
    <x:row r="7">
      <x:c r="A7" t="str">
        <x:v>Vendor cash opportunity at assumed unit price</x:v>
      </x:c>
      <x:c r="B7" s="60" t="n">
        <x:f>B5*'Assumptions'!B13*'Assumptions'!B29</x:f>
        <x:v>11232</x:v>
      </x:c>
      <x:c r="C7" t="str">
        <x:v>Rp m, CONDITIONAL CASH SENSITIVITY</x:v>
      </x:c>
      <x:c r="D7" t="str">
        <x:v>Unverified; requires contract owner, actual avoidable spend &amp; timing</x:v>
      </x:c>
      <x:c r="E7" t="str">
        <x:v>Lost vendor FTE-mo × price</x:v>
      </x:c>
    </x:row>
    <x:row r="8">
      <x:c r="A8" t="str">
        <x:v>Nonvendor opportunity low</x:v>
      </x:c>
      <x:c r="B8" s="60" t="n">
        <x:f>B6*Assumptions!B14</x:f>
        <x:v>0</x:v>
      </x:c>
      <x:c r="C8" t="str">
        <x:v>Rp m, ILLUSTRATIVE NONCASH</x:v>
      </x:c>
      <x:c r="D8" t="str">
        <x:v>Not a cash invoice</x:v>
      </x:c>
      <x:c r="E8" t="str">
        <x:v>Lost nonvendor FTE-mo × Rp0m</x:v>
      </x:c>
    </x:row>
    <x:row r="9">
      <x:c r="A9" t="str">
        <x:v>Nonvendor opportunity high</x:v>
      </x:c>
      <x:c r="B9" s="60" t="n">
        <x:f>B6*Assumptions!B16</x:f>
        <x:v>20592</x:v>
      </x:c>
      <x:c r="C9" t="str">
        <x:v>Rp m, ILLUSTRATIVE NONCASH</x:v>
      </x:c>
      <x:c r="D9" t="str">
        <x:v>Attribution and productivity must be verified</x:v>
      </x:c>
      <x:c r="E9" t="str">
        <x:v>Lost nonvendor FTE-mo × Rp4m</x:v>
      </x:c>
    </x:row>
    <x:row r="10" ht="24" customHeight="1">
      <x:c r="A10" s="76" t="str">
        <x:v>B. LAYOFF / REHIRE — PROHIBITED POLICY COMPARATOR</x:v>
      </x:c>
      <x:c r="B10" s="84"/>
      <x:c r="C10" s="76" t="str"/>
      <x:c r="D10" s="76" t="str">
        <x:v>No mass layoffs under case constraints; Oracle payroll access excluded</x:v>
      </x:c>
      <x:c r="E10" s="76" t="str"/>
    </x:row>
    <x:row r="11">
      <x:c r="A11" t="str">
        <x:v>Illustrative separations, count of PEOPLE</x:v>
      </x:c>
      <x:c r="B11" s="95" t="n">
        <x:f>'Assumptions'!B23</x:f>
        <x:v>500</x:v>
      </x:c>
      <x:c r="C11" t="str">
        <x:v>FICTIONAL STRESS INPUT</x:v>
      </x:c>
      <x:c r="D11" t="str">
        <x:v>Independent parameter. Never convert WE into people</x:v>
      </x:c>
      <x:c r="E11" t="str">
        <x:v>No actual names or separations proposed</x:v>
      </x:c>
    </x:row>
    <x:row r="12">
      <x:c r="A12" t="str">
        <x:v>Illustrative all-in lawful separation cost/person</x:v>
      </x:c>
      <x:c r="B12" s="95" t="n">
        <x:f>'Assumptions'!B24</x:f>
        <x:v>20</x:v>
      </x:c>
      <x:c r="C12" t="str">
        <x:v>Rp m / PERSON; FICTIONAL INPUT</x:v>
      </x:c>
      <x:c r="D12" t="str">
        <x:v>Not a statutory severance formula; Legal + CBA validation needed</x:v>
      </x:c>
      <x:c r="E12" t="str">
        <x:v>No payroll base</x:v>
      </x:c>
    </x:row>
    <x:row r="13">
      <x:c r="A13" t="str">
        <x:v>Illustrative rehires, count of PEOPLE</x:v>
      </x:c>
      <x:c r="B13" s="95" t="n">
        <x:f>'Assumptions'!B25</x:f>
        <x:v>200</x:v>
      </x:c>
      <x:c r="C13" t="str">
        <x:v>FICTIONAL STRESS INPUT</x:v>
      </x:c>
      <x:c r="D13" t="str">
        <x:v>Independent parameter; not tied to workforce gap</x:v>
      </x:c>
      <x:c r="E13" t="str">
        <x:v>Target capability needs unknown</x:v>
      </x:c>
    </x:row>
    <x:row r="14">
      <x:c r="A14" t="str">
        <x:v>Illustrative hire/onboarding cost/person</x:v>
      </x:c>
      <x:c r="B14" s="95" t="n">
        <x:f>'Assumptions'!B26</x:f>
        <x:v>10</x:v>
      </x:c>
      <x:c r="C14" t="str">
        <x:v>Rp m / PERSON; FICTIONAL INPUT</x:v>
      </x:c>
      <x:c r="D14" t="str">
        <x:v>Not actual costs from Client</x:v>
      </x:c>
      <x:c r="E14" t="str">
        <x:v>Finance and recruiting validation required</x:v>
      </x:c>
    </x:row>
    <x:row r="15">
      <x:c r="A15" t="str">
        <x:v>Illustrative incremental disruption</x:v>
      </x:c>
      <x:c r="B15" s="95" t="n">
        <x:f>'Assumptions'!B27</x:f>
        <x:v>0</x:v>
      </x:c>
      <x:c r="C15" t="str">
        <x:v>Rp m; NOT MODELLED</x:v>
      </x:c>
      <x:c r="D15" t="str">
        <x:v>Strike, safety, service disruption must not be assumed zero in reality</x:v>
      </x:c>
      <x:c r="E15" t="str">
        <x:v>Needs operations and union evidence</x:v>
      </x:c>
    </x:row>
    <x:row r="16">
      <x:c r="A16" t="str">
        <x:v>Scenario one-time gross comparator total</x:v>
      </x:c>
      <x:c r="B16" s="60" t="n">
        <x:f>B11*B12+B13*B14+B15</x:f>
        <x:v>12000</x:v>
      </x:c>
      <x:c r="C16" t="str">
        <x:v>Rp m, FICTIONAL ONLY</x:v>
      </x:c>
      <x:c r="D16" t="str">
        <x:v>No salary savings claimed; legally prohibited path; not an option recommendation</x:v>
      </x:c>
      <x:c r="E16" t="str">
        <x:v>Nsep*exit cost + Nhire*hire cost + disruption</x:v>
      </x:c>
    </x:row>
    <x:row r="17">
      <x:c r="A17" t="str">
        <x:v>Programme envelope for comparison</x:v>
      </x:c>
      <x:c r="B17" s="60" t="n">
        <x:f>'Investment Bridge'!B7</x:f>
        <x:v>6000</x:v>
      </x:c>
      <x:c r="C17" t="str">
        <x:v>Rp m, SYNTHETIC</x:v>
      </x:c>
      <x:c r="D17" t="str">
        <x:v>Not full TCO; not directly comparable to one-time counterfactual</x:v>
      </x:c>
      <x:c r="E17" t="str">
        <x:v>Investment Bridge</x:v>
      </x:c>
    </x:row>
    <x:row r="18">
      <x:c r="A18" t="str">
        <x:v>IMPORTANT: units and horizon differ</x:v>
      </x:c>
      <x:c r="B18" s="60"/>
      <x:c r="C18" t="str">
        <x:v>CAUTION</x:v>
      </x:c>
      <x:c r="D18" t="str">
        <x:v>A one-time personnel event cannot be compared with 36-month work outcomes without timing, benefits, and lawful baseline</x:v>
      </x:c>
      <x:c r="E18" t="str">
        <x:v>Do not use as ROI / normative layoffs recommendation</x:v>
      </x:c>
    </x:row>
    <x:row r="19" ht="24" customHeight="1">
      <x:c r="A19" s="76" t="str">
        <x:v>C. ECONOMIC VALUE HURDLE (NOT CASH ROI)</x:v>
      </x:c>
      <x:c r="B19" s="84"/>
      <x:c r="C19" s="76" t="str"/>
      <x:c r="D19" s="76" t="str">
        <x:v>Potential matching work ≠ actual completed placement</x:v>
      </x:c>
      <x:c r="E19" s="76" t="str"/>
    </x:row>
    <x:row r="20">
      <x:c r="A20" t="str">
        <x:v>Total potential matched-work FTE-months</x:v>
      </x:c>
      <x:c r="B20" s="60" t="n">
        <x:f>'Cash &amp; ROI'!B9+'Cash &amp; ROI'!B10</x:f>
        <x:v>14625</x:v>
      </x:c>
      <x:c r="C20" t="str">
        <x:v>FTE-months, MODEL-DERIVED</x:v>
      </x:c>
      <x:c r="D20" t="str">
        <x:v>Vendor + nonvendor gross model; demand not backed</x:v>
      </x:c>
      <x:c r="E20" t="str">
        <x:v>Cash &amp; ROI gross series</x:v>
      </x:c>
    </x:row>
    <x:row r="21">
      <x:c r="A21" t="str">
        <x:v>Value per FTE-month needed for Rp6B recovery</x:v>
      </x:c>
      <x:c r="B21" s="60" t="n">
        <x:f>B17/B20</x:f>
        <x:v>0.41025641025641024</x:v>
      </x:c>
      <x:c r="C21" t="str">
        <x:v>Rp m/FTE-mo, ECONOMIC HURDLE</x:v>
      </x:c>
      <x:c r="D21" t="str">
        <x:v>Only if truly incremental outputs demonstrably attributable</x:v>
      </x:c>
      <x:c r="E21" t="str">
        <x:v>NOT a cash saving claim</x:v>
      </x:c>
    </x:row>
    <x:row r="22">
      <x:c r="A22" t="str">
        <x:v>Cash ROI modelled categories only</x:v>
      </x:c>
      <x:c r="B22" s="26" t="n">
        <x:f>'Cash &amp; ROI'!B15</x:f>
        <x:v>2.9</x:v>
      </x:c>
      <x:c r="C22" t="str">
        <x:v>ratio, FULL CAPTURE UPSIDE</x:v>
      </x:c>
      <x:c r="D22" t="str">
        <x:v>Vendor-only, highly conditional</x:v>
      </x:c>
      <x:c r="E22" t="str">
        <x:v>Cash &amp; ROI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76" hidden="0" customWidth="1"/>
    <x:col min="4" max="4" width="78" hidden="0" customWidth="1"/>
    <x:col min="5" max="5" width="78" hidden="0" customWidth="1"/>
    <x:col min="6" max="6" width="35" hidden="0" customWidth="1"/>
    <x:col min="7" max="7" width="77" hidden="0" customWidth="1"/>
  </x:cols>
  <x:sheetData>
    <x:row r="1" ht="29" customHeight="1">
      <x:c r="A1" s="66" t="str">
        <x:v>WHEN</x:v>
      </x:c>
      <x:c r="B1" s="66" t="str">
        <x:v>GATE / PURPOSE</x:v>
      </x:c>
      <x:c r="C1" s="66" t="str">
        <x:v>EVIDENCE REQUIRED</x:v>
      </x:c>
      <x:c r="D1" s="66" t="str">
        <x:v>PASS / PROCEED RULE</x:v>
      </x:c>
      <x:c r="E1" s="66" t="str">
        <x:v>IF FAIL / DECISION</x:v>
      </x:c>
      <x:c r="F1" s="66" t="str">
        <x:v>ACCOUNTABLE</x:v>
      </x:c>
      <x:c r="G1" s="66" t="str">
        <x:v>FUNDING / STATUS</x:v>
      </x:c>
    </x:row>
    <x:row r="2" ht="75" customHeight="1">
      <x:c r="A2" s="63" t="str">
        <x:v>D0–29</x:v>
      </x:c>
      <x:c r="B2" s="63" t="str">
        <x:v>Enterprise foundation</x:v>
      </x:c>
      <x:c r="C2" s="63" t="str">
        <x:v>Canonical role mapping protocol, initial identity exceptions, union/data-use charter, enterprise triage</x:v>
      </x:c>
      <x:c r="D2" s="63" t="str">
        <x:v>Authorised data governance; no individual decision from unvalidated title clusters</x:v>
      </x:c>
      <x:c r="E2" s="63" t="str">
        <x:v>Limit to aggregate maps; steward exceptions and purpose controls</x:v>
      </x:c>
      <x:c r="F2" s="63" t="str">
        <x:v>HC + Data Steward + Legal</x:v>
      </x:c>
      <x:c r="G2" s="63" t="str">
        <x:v>Within contracted programme; scope to be verified</x:v>
      </x:c>
    </x:row>
    <x:row r="3" ht="75" customHeight="1">
      <x:c r="A3" s="63" t="str">
        <x:v>D30</x:v>
      </x:c>
      <x:c r="B3" s="63" t="str">
        <x:v>Complication response</x:v>
      </x:c>
      <x:c r="C3" s="63" t="str">
        <x:v>Field Metering 70% exposure finding, regional risk, union briefing, Operations/Finance/Technology data requests</x:v>
      </x:c>
      <x:c r="D3" s="63" t="str">
        <x:v>Response team formally appointed; no claim of already-backed new roles</x:v>
      </x:c>
      <x:c r="E3" s="63" t="str">
        <x:v>Escalate industrial response; pause individual assessment pending safeguards</x:v>
      </x:c>
      <x:c r="F3" s="63" t="str">
        <x:v>Director HC + Union liaison</x:v>
      </x:c>
      <x:c r="G3" s="63" t="str">
        <x:v>M1–3 allocation Rp1.25B is illustrative, NOT all new money</x:v>
      </x:c>
    </x:row>
    <x:row r="4" ht="75" customHeight="1">
      <x:c r="A4" s="63" t="str">
        <x:v>D31–59</x:v>
      </x:c>
      <x:c r="B4" s="63" t="str">
        <x:v>Evidence sprint</x:v>
      </x:c>
      <x:c r="C4" s="63" t="str">
        <x:v>Work driver × volume × hours; independent source checks; approved capacity, role owner, start/end; SME rubric</x:v>
      </x:c>
      <x:c r="D4" s="63" t="str">
        <x:v>At least one destination role *Backed* for a bounded pilot; no scale implication</x:v>
      </x:c>
      <x:c r="E4" s="63" t="str">
        <x:v>No mass training for claimed-only roles; expand redesign search</x:v>
      </x:c>
      <x:c r="F4" s="63" t="str">
        <x:v>Operations + Finance + SME</x:v>
      </x:c>
      <x:c r="G4" s="63" t="str">
        <x:v>Pilot-only costs need procurement deduplication</x:v>
      </x:c>
    </x:row>
    <x:row r="5" ht="75" customHeight="1">
      <x:c r="A5" s="63" t="str">
        <x:v>D60</x:v>
      </x:c>
      <x:c r="B5" s="63" t="str">
        <x:v>Evidence gate</x:v>
      </x:c>
      <x:c r="C5" s="63" t="str">
        <x:v>Backed opportunity; task rubric SME signoff; assessor calibration; voluntary safeguards</x:v>
      </x:c>
      <x:c r="D5" s="63" t="str">
        <x:v>If ≥1 Backed, may proceed limited opt-in matching, subject to individual evidence/safety</x:v>
      </x:c>
      <x:c r="E5" s="63" t="str">
        <x:v>If zero Backed, stop role-specific scale promises; redesign + Board issue</x:v>
      </x:c>
      <x:c r="F5" s="63" t="str">
        <x:v>Director HC + Operations + Union forum</x:v>
      </x:c>
      <x:c r="G5" s="63" t="str">
        <x:v>No automatic release of enterprise-scale spending</x:v>
      </x:c>
    </x:row>
    <x:row r="6" ht="75" customHeight="1">
      <x:c r="A6" s="63" t="str">
        <x:v>D61–89</x:v>
      </x:c>
      <x:c r="B6" s="63" t="str">
        <x:v>Controlled proof</x:v>
      </x:c>
      <x:c r="C6" s="63" t="str">
        <x:v>Fictional prototype for case; in Client pilot: explicit opt-in evidence, second review, correction/appeal logs</x:v>
      </x:c>
      <x:c r="D6" s="63" t="str">
        <x:v>Evidence, Operational, Decision, Trust gates all demonstrate operation, not tick-boxs</x:v>
      </x:c>
      <x:c r="E6" s="63" t="str">
        <x:v>Keep aggregate-only work; fix trust, quality, or data issues</x:v>
      </x:c>
      <x:c r="F6" s="63" t="str">
        <x:v>HC pilot lead + independent assessors</x:v>
      </x:c>
      <x:c r="G6" s="63" t="str">
        <x:v>Release dependent on verified authorization and cost scope</x:v>
      </x:c>
    </x:row>
    <x:row r="7" ht="75" customHeight="1">
      <x:c r="A7" s="63" t="str">
        <x:v>D90</x:v>
      </x:c>
      <x:c r="B7" s="63" t="str">
        <x:v>Board decision</x:v>
      </x:c>
      <x:c r="C7" s="63" t="str">
        <x:v>Regional gap map, verified candidate demand, real pilot evidence if collected, economics uncertainty, unresolved capacity, Ministry engagement</x:v>
      </x:c>
      <x:c r="D7" s="63" t="str">
        <x:v>Continue bounded proof / Adjust / Hold with accountable owners and next evidence deadline</x:v>
      </x:c>
      <x:c r="E7" s="63" t="str">
        <x:v>No blanket scale approval; structural capacity decision escalated</x:v>
      </x:c>
      <x:c r="F7" s="63" t="str">
        <x:v>Board + HC + Ops + Finance + union liaison</x:v>
      </x:c>
      <x:c r="G7" s="63" t="str">
        <x:v>Financial authorisation distinguishes committed fee from new spend</x:v>
      </x:c>
    </x:row>
    <x:row r="8" ht="75" customHeight="1">
      <x:c r="A8" s="64" t="str">
        <x:v>FUNDING</x:v>
      </x:c>
      <x:c r="B8" s="64" t="str">
        <x:v>M1–M3 illustrative allocation</x:v>
      </x:c>
      <x:c r="C8" s="64"/>
      <x:c r="D8" s="64"/>
      <x:c r="E8" s="64"/>
      <x:c r="F8" s="64" t="str">
        <x:v>Finance</x:v>
      </x:c>
      <x:c r="G8" s="64" t="str">
        <x:v>Rp875m pro-rated engagement + Rp375m assumed implementation; latter new only if not funded</x:v>
      </x:c>
    </x:row>
    <x:row r="9" ht="75" customHeight="1">
      <x:c r="A9" s="64" t="str">
        <x:v>FUNDING</x:v>
      </x:c>
      <x:c r="B9" s="64" t="str">
        <x:v>36-month illustrative cash envelope</x:v>
      </x:c>
      <x:c r="C9" s="64"/>
      <x:c r="D9" s="64"/>
      <x:c r="E9" s="64"/>
      <x:c r="F9" s="64" t="str">
        <x:v>Finance</x:v>
      </x:c>
      <x:c r="G9" s="64" t="str">
        <x:v>Rp6B model includes Rp3.5B fee; not approved TCO; excludes unpriced scope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84" hidden="0" customWidth="1"/>
    <x:col min="3" max="3" width="80" hidden="0" customWidth="1"/>
    <x:col min="4" max="4" width="86" hidden="0" customWidth="1"/>
    <x:col min="5" max="5" width="25" hidden="0" customWidth="1"/>
    <x:col min="6" max="6" width="55" hidden="0" customWidth="1"/>
  </x:cols>
  <x:sheetData>
    <x:row r="1" ht="29" customHeight="1">
      <x:c r="A1" s="66" t="str">
        <x:v>WORKSTREAM</x:v>
      </x:c>
      <x:c r="B1" s="66" t="str">
        <x:v>DETERMINISTIC EVIDENCE</x:v>
      </x:c>
      <x:c r="C1" s="66" t="str">
        <x:v>AMBIGUOUS / PROBABILISTIC</x:v>
      </x:c>
      <x:c r="D1" s="66" t="str">
        <x:v>HANDOFF / CONTROL</x:v>
      </x:c>
      <x:c r="E1" s="66" t="str">
        <x:v>MILESTONE</x:v>
      </x:c>
      <x:c r="F1" s="66" t="str">
        <x:v>PROVENANCE</x:v>
      </x:c>
    </x:row>
    <x:row r="2" ht="78" customHeight="1">
      <x:c r="A2" s="63" t="str">
        <x:v>Identity matching</x:v>
      </x:c>
      <x:c r="B2" s="63" t="str">
        <x:v>Approved SAP person key + HR-authorised stable learner ID crosswalk; never Oracle payroll</x:v>
      </x:c>
      <x:c r="C2" s="63" t="str">
        <x:v>Name/location/date-derived candidate link MUST NOT auto-merge; show confidence + exception flag</x:v>
      </x:c>
      <x:c r="D2" s="63" t="str">
        <x:v>HR steward adjudicates source IDs, records reason/approval/version; employee may correct</x:v>
      </x:c>
      <x:c r="E2" s="63" t="str">
        <x:v>D0–30 sample QA</x:v>
      </x:c>
      <x:c r="F2" s="63" t="str">
        <x:v>Proposed mechanism, not validated Client match rate</x:v>
      </x:c>
    </x:row>
    <x:row r="3" ht="78" customHeight="1">
      <x:c r="A3" s="63" t="str">
        <x:v>Matching quality</x:v>
      </x:c>
      <x:c r="B3" s="63" t="str">
        <x:v>Stratified matched/unmatched sample by six regions and system/source</x:v>
      </x:c>
      <x:c r="C3" s="63" t="str">
        <x:v>Report precision and unresolved/collision counts; no fabricated match-rate target</x:v>
      </x:c>
      <x:c r="D3" s="63" t="str">
        <x:v>Publish denominator, error types, review queue time, high-risk exceptions</x:v>
      </x:c>
      <x:c r="E3" s="63" t="str">
        <x:v>D30 baseline</x:v>
      </x:c>
      <x:c r="F3" s="63" t="str">
        <x:v>Target should be set only after source profiling</x:v>
      </x:c>
    </x:row>
    <x:row r="4" ht="78" customHeight="1">
      <x:c r="A4" s="63" t="str">
        <x:v>Title normalisation</x:v>
      </x:c>
      <x:c r="B4" s="63" t="str">
        <x:v>Original title/grade retained; compare task inventory + authority + SME signoff</x:v>
      </x:c>
      <x:c r="C4" s="63" t="str">
        <x:v>Engineer Madya and Senior Technician II may map together only if tasks align; same title may split by region</x:v>
      </x:c>
      <x:c r="D4" s="63" t="str">
        <x:v>Approved versioned canonical archetype / family / task profile; audit random+high-risk samples</x:v>
      </x:c>
      <x:c r="E4" s="63" t="str">
        <x:v>D30 triage; D60 pilot</x:v>
      </x:c>
      <x:c r="F4" s="63" t="str">
        <x:v>Three examples are illustrative mappings, not 200 validated roles</x:v>
      </x:c>
    </x:row>
    <x:row r="5" ht="78" customHeight="1">
      <x:c r="A5" s="63" t="str">
        <x:v>Five level compatibility</x:v>
      </x:c>
      <x:c r="B5" s="63" t="str">
        <x:v>Existing generic 5-level stays as metadata; B1–B4 are task-specific complexity proof</x:v>
      </x:c>
      <x:c r="C5" s="63" t="str">
        <x:v>No automatic B1→L1 or B4→L5 mapping; demonstrate competency descriptor crosswalk</x:v>
      </x:c>
      <x:c r="D5" s="63" t="str">
        <x:v>SME + HR job-eval steward signs versioned mapping; contractual grade unaffected</x:v>
      </x:c>
      <x:c r="E5" s="63" t="str">
        <x:v>D60 pilot</x:v>
      </x:c>
      <x:c r="F5" s="63" t="str">
        <x:v>Does not replace grading or SKKNI/KKNI</x:v>
      </x:c>
    </x:row>
    <x:row r="6" ht="78" customHeight="1">
      <x:c r="A6" s="63" t="str">
        <x:v>Union engagement</x:v>
      </x:c>
      <x:c r="B6" s="63" t="str">
        <x:v>D0 data purpose charter and representative forum; D30 disruption briefing</x:v>
      </x:c>
      <x:c r="C6" s="63" t="str">
        <x:v>Voluntary pilots and correction mechanisms, no adverse impact of nonparticipation</x:v>
      </x:c>
      <x:c r="D6" s="63" t="str">
        <x:v>Track grievances, time-to-resolution, detectable data misuse; avoid false 'zero harm' claims</x:v>
      </x:c>
      <x:c r="E6" s="63" t="str">
        <x:v>D0/D30/D60/D90</x:v>
      </x:c>
      <x:c r="F6" s="63" t="str">
        <x:v>Client consultation/approval necessary</x:v>
      </x:c>
    </x:row>
    <x:row r="7" ht="78" customHeight="1">
      <x:c r="A7" s="63" t="str">
        <x:v>Ministry engagement</x:v>
      </x:c>
      <x:c r="B7" s="63" t="str">
        <x:v>Designated HC/Legal government liaison and documentation package</x:v>
      </x:c>
      <x:c r="C7" s="63" t="str">
        <x:v>No assumption that Ministry 'approved' programme or data use</x:v>
      </x:c>
      <x:c r="D7" s="63" t="str">
        <x:v>D30 factual incident response brief; D90 Board-backed scenario/operating safeguards</x:v>
      </x:c>
      <x:c r="E7" s="63" t="str">
        <x:v>D30 and D90</x:v>
      </x:c>
      <x:c r="F7" s="63" t="str">
        <x:v>Regulatory/legal obligation needs Client counsel review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9" hidden="0" customWidth="1"/>
    <x:col min="4" max="4" width="26" hidden="0" customWidth="1"/>
    <x:col min="5" max="5" width="27" hidden="0" customWidth="1"/>
    <x:col min="6" max="6" width="24" hidden="0" customWidth="1"/>
  </x:cols>
  <x:sheetData>
    <x:row r="1" ht="35" customHeight="1">
      <x:c r="A1" s="98" t="str">
        <x:v>SYNTHETIC MONTHLY TIMING CURVES | editable fractions, NOT client measurements</x:v>
      </x:c>
      <x:c r="B1" s="98"/>
      <x:c r="C1" s="98"/>
      <x:c r="D1" s="98"/>
      <x:c r="E1" s="98"/>
      <x:c r="F1" s="98"/>
    </x:row>
    <x:row r="2" ht="26" customHeight="1">
      <x:c r="A2" t="str">
        <x:v>Monthly factors reproduce original 36M baseline; changing assumptions rescales entire scenario. Source: internal pre-audit 36M Workforce hardcoded curves.</x:v>
      </x:c>
      <x:c r="B2"/>
      <x:c r="C2"/>
      <x:c r="D2"/>
      <x:c r="E2"/>
      <x:c r="F2"/>
    </x:row>
    <x:row r="3" ht="29" customHeight="1">
      <x:c r="A3" s="66" t="str">
        <x:v>MONTH</x:v>
      </x:c>
      <x:c r="B3" s="66" t="str">
        <x:v>DISPLACEMENT SHARE OF 3570</x:v>
      </x:c>
      <x:c r="C3" s="66" t="str">
        <x:v>MATCH SHARE OF 585</x:v>
      </x:c>
      <x:c r="D3" s="66" t="str">
        <x:v>REPRODUCED DISPLACED WE</x:v>
      </x:c>
      <x:c r="E3" s="66" t="str">
        <x:v>REPRODUCED MATCHED WE</x:v>
      </x:c>
      <x:c r="F3" s="66" t="str">
        <x:v>CURVE QUALITY</x:v>
      </x:c>
    </x:row>
    <x:row r="4">
      <x:c r="A4" t="n">
        <x:v>0</x:v>
      </x:c>
      <x:c r="B4" s="92" t="n">
        <x:v>0</x:v>
      </x:c>
      <x:c r="C4" s="92" t="n">
        <x:v>0</x:v>
      </x:c>
      <x:c r="D4" s="91" t="n">
        <x:f>B4*'Assumptions'!$B$2*'Assumptions'!$B$3*'Assumptions'!$B$4</x:f>
        <x:v>0</x:v>
      </x:c>
      <x:c r="E4" s="91" t="n">
        <x:f>C4*('Assumptions'!$B$7+'Assumptions'!$B$8)*'Assumptions'!$B$6</x:f>
        <x:v>0</x:v>
      </x:c>
      <x:c r="F4" t="str">
        <x:f>IF(AND(B4&gt;=0,B4&lt;=1,C4&gt;=0,C4&lt;=1),"PASS","CHECK")</x:f>
        <x:v>PASS</x:v>
      </x:c>
    </x:row>
    <x:row r="5">
      <x:c r="A5" t="n">
        <x:v>1</x:v>
      </x:c>
      <x:c r="B5" s="92" t="n">
        <x:v>0.004722222222222222</x:v>
      </x:c>
      <x:c r="C5" s="92" t="n">
        <x:v>0</x:v>
      </x:c>
      <x:c r="D5" s="91" t="n">
        <x:f>B5*'Assumptions'!$B$2*'Assumptions'!$B$3*'Assumptions'!$B$4</x:f>
        <x:v>16.85833333333333</x:v>
      </x:c>
      <x:c r="E5" s="91" t="n">
        <x:f>C5*('Assumptions'!$B$7+'Assumptions'!$B$8)*'Assumptions'!$B$6</x:f>
        <x:v>0</x:v>
      </x:c>
      <x:c r="F5" t="str">
        <x:f>IF(AND(B5&gt;=0,B5&lt;=1,C5&gt;=0,C5&lt;=1),"PASS","CHECK")</x:f>
        <x:v>PASS</x:v>
      </x:c>
    </x:row>
    <x:row r="6">
      <x:c r="A6" t="n">
        <x:v>2</x:v>
      </x:c>
      <x:c r="B6" s="92" t="n">
        <x:v>0.02171296296296296</x:v>
      </x:c>
      <x:c r="C6" s="92" t="n">
        <x:v>0</x:v>
      </x:c>
      <x:c r="D6" s="91" t="n">
        <x:f>B6*'Assumptions'!$B$2*'Assumptions'!$B$3*'Assumptions'!$B$4</x:f>
        <x:v>77.51527777777777</x:v>
      </x:c>
      <x:c r="E6" s="91" t="n">
        <x:f>C6*('Assumptions'!$B$7+'Assumptions'!$B$8)*'Assumptions'!$B$6</x:f>
        <x:v>0</x:v>
      </x:c>
      <x:c r="F6" t="str">
        <x:f>IF(AND(B6&gt;=0,B6&lt;=1,C6&gt;=0,C6&lt;=1),"PASS","CHECK")</x:f>
        <x:v>PASS</x:v>
      </x:c>
    </x:row>
    <x:row r="7">
      <x:c r="A7" t="n">
        <x:v>3</x:v>
      </x:c>
      <x:c r="B7" s="92" t="n">
        <x:v>0.055856481481481486</x:v>
      </x:c>
      <x:c r="C7" s="92" t="n">
        <x:v>0</x:v>
      </x:c>
      <x:c r="D7" s="91" t="n">
        <x:f>B7*'Assumptions'!$B$2*'Assumptions'!$B$3*'Assumptions'!$B$4</x:f>
        <x:v>199.4076388888889</x:v>
      </x:c>
      <x:c r="E7" s="91" t="n">
        <x:f>C7*('Assumptions'!$B$7+'Assumptions'!$B$8)*'Assumptions'!$B$6</x:f>
        <x:v>0</x:v>
      </x:c>
      <x:c r="F7" t="str">
        <x:f>IF(AND(B7&gt;=0,B7&lt;=1,C7&gt;=0,C7&lt;=1),"PASS","CHECK")</x:f>
        <x:v>PASS</x:v>
      </x:c>
    </x:row>
    <x:row r="8">
      <x:c r="A8" t="n">
        <x:v>4</x:v>
      </x:c>
      <x:c r="B8" s="92" t="n">
        <x:v>0.10975694444444442</x:v>
      </x:c>
      <x:c r="C8" s="92" t="n">
        <x:v>0</x:v>
      </x:c>
      <x:c r="D8" s="91" t="n">
        <x:f>B8*'Assumptions'!$B$2*'Assumptions'!$B$3*'Assumptions'!$B$4</x:f>
        <x:v>391.83229166666655</x:v>
      </x:c>
      <x:c r="E8" s="91" t="n">
        <x:f>C8*('Assumptions'!$B$7+'Assumptions'!$B$8)*'Assumptions'!$B$6</x:f>
        <x:v>0</x:v>
      </x:c>
      <x:c r="F8" t="str">
        <x:f>IF(AND(B8&gt;=0,B8&lt;=1,C8&gt;=0,C8&lt;=1),"PASS","CHECK")</x:f>
        <x:v>PASS</x:v>
      </x:c>
    </x:row>
    <x:row r="9">
      <x:c r="A9" t="n">
        <x:v>5</x:v>
      </x:c>
      <x:c r="B9" s="92" t="n">
        <x:v>0.1839236111111111</x:v>
      </x:c>
      <x:c r="C9" s="92" t="n">
        <x:v>0.06666666666666667</x:v>
      </x:c>
      <x:c r="D9" s="91" t="n">
        <x:f>B9*'Assumptions'!$B$2*'Assumptions'!$B$3*'Assumptions'!$B$4</x:f>
        <x:v>656.6072916666666</x:v>
      </x:c>
      <x:c r="E9" s="91" t="n">
        <x:f>C9*('Assumptions'!$B$7+'Assumptions'!$B$8)*'Assumptions'!$B$6</x:f>
        <x:v>39</x:v>
      </x:c>
      <x:c r="F9" t="str">
        <x:f>IF(AND(B9&gt;=0,B9&lt;=1,C9&gt;=0,C9&lt;=1),"PASS","CHECK")</x:f>
        <x:v>PASS</x:v>
      </x:c>
    </x:row>
    <x:row r="10">
      <x:c r="A10" t="n">
        <x:v>6</x:v>
      </x:c>
      <x:c r="B10" s="92" t="n">
        <x:v>0.2769328703703704</x:v>
      </x:c>
      <x:c r="C10" s="92" t="n">
        <x:v>0.13333333333333333</x:v>
      </x:c>
      <x:c r="D10" s="91" t="n">
        <x:f>B10*'Assumptions'!$B$2*'Assumptions'!$B$3*'Assumptions'!$B$4</x:f>
        <x:v>988.6503472222223</x:v>
      </x:c>
      <x:c r="E10" s="91" t="n">
        <x:f>C10*('Assumptions'!$B$7+'Assumptions'!$B$8)*'Assumptions'!$B$6</x:f>
        <x:v>78</x:v>
      </x:c>
      <x:c r="F10" t="str">
        <x:f>IF(AND(B10&gt;=0,B10&lt;=1,C10&gt;=0,C10&lt;=1),"PASS","CHECK")</x:f>
        <x:v>PASS</x:v>
      </x:c>
    </x:row>
    <x:row r="11">
      <x:c r="A11" t="n">
        <x:v>7</x:v>
      </x:c>
      <x:c r="B11" s="92" t="n">
        <x:v>0.3840393518518519</x:v>
      </x:c>
      <x:c r="C11" s="92" t="n">
        <x:v>0.2</x:v>
      </x:c>
      <x:c r="D11" s="91" t="n">
        <x:f>B11*'Assumptions'!$B$2*'Assumptions'!$B$3*'Assumptions'!$B$4</x:f>
        <x:v>1371.020486111111</x:v>
      </x:c>
      <x:c r="E11" s="91" t="n">
        <x:f>C11*('Assumptions'!$B$7+'Assumptions'!$B$8)*'Assumptions'!$B$6</x:f>
        <x:v>117</x:v>
      </x:c>
      <x:c r="F11" t="str">
        <x:f>IF(AND(B11&gt;=0,B11&lt;=1,C11&gt;=0,C11&lt;=1),"PASS","CHECK")</x:f>
        <x:v>PASS</x:v>
      </x:c>
    </x:row>
    <x:row r="12">
      <x:c r="A12" t="n">
        <x:v>8</x:v>
      </x:c>
      <x:c r="B12" s="92" t="n">
        <x:v>0.49829861111111107</x:v>
      </x:c>
      <x:c r="C12" s="92" t="n">
        <x:v>0.26666666666666666</x:v>
      </x:c>
      <x:c r="D12" s="91" t="n">
        <x:f>B12*'Assumptions'!$B$2*'Assumptions'!$B$3*'Assumptions'!$B$4</x:f>
        <x:v>1778.9260416666664</x:v>
      </x:c>
      <x:c r="E12" s="91" t="n">
        <x:f>C12*('Assumptions'!$B$7+'Assumptions'!$B$8)*'Assumptions'!$B$6</x:f>
        <x:v>156</x:v>
      </x:c>
      <x:c r="F12" t="str">
        <x:f>IF(AND(B12&gt;=0,B12&lt;=1,C12&gt;=0,C12&lt;=1),"PASS","CHECK")</x:f>
        <x:v>PASS</x:v>
      </x:c>
    </x:row>
    <x:row r="13">
      <x:c r="A13" t="n">
        <x:v>9</x:v>
      </x:c>
      <x:c r="B13" s="92" t="n">
        <x:v>0.6127662037037037</x:v>
      </x:c>
      <x:c r="C13" s="92" t="n">
        <x:v>0.3333333333333333</x:v>
      </x:c>
      <x:c r="D13" s="91" t="n">
        <x:f>B13*'Assumptions'!$B$2*'Assumptions'!$B$3*'Assumptions'!$B$4</x:f>
        <x:v>2187.575347222222</x:v>
      </x:c>
      <x:c r="E13" s="91" t="n">
        <x:f>C13*('Assumptions'!$B$7+'Assumptions'!$B$8)*'Assumptions'!$B$6</x:f>
        <x:v>195</x:v>
      </x:c>
      <x:c r="F13" t="str">
        <x:f>IF(AND(B13&gt;=0,B13&lt;=1,C13&gt;=0,C13&lt;=1),"PASS","CHECK")</x:f>
        <x:v>PASS</x:v>
      </x:c>
    </x:row>
    <x:row r="14">
      <x:c r="A14" t="n">
        <x:v>10</x:v>
      </x:c>
      <x:c r="B14" s="92" t="n">
        <x:v>0.7204976851851852</x:v>
      </x:c>
      <x:c r="C14" s="92" t="n">
        <x:v>0.4</x:v>
      </x:c>
      <x:c r="D14" s="91" t="n">
        <x:f>B14*'Assumptions'!$B$2*'Assumptions'!$B$3*'Assumptions'!$B$4</x:f>
        <x:v>2572.176736111111</x:v>
      </x:c>
      <x:c r="E14" s="91" t="n">
        <x:f>C14*('Assumptions'!$B$7+'Assumptions'!$B$8)*'Assumptions'!$B$6</x:f>
        <x:v>234</x:v>
      </x:c>
      <x:c r="F14" t="str">
        <x:f>IF(AND(B14&gt;=0,B14&lt;=1,C14&gt;=0,C14&lt;=1),"PASS","CHECK")</x:f>
        <x:v>PASS</x:v>
      </x:c>
    </x:row>
    <x:row r="15">
      <x:c r="A15" t="n">
        <x:v>11</x:v>
      </x:c>
      <x:c r="B15" s="92" t="n">
        <x:v>0.8145486111111113</x:v>
      </x:c>
      <x:c r="C15" s="92" t="n">
        <x:v>0.4666666666666667</x:v>
      </x:c>
      <x:c r="D15" s="91" t="n">
        <x:f>B15*'Assumptions'!$B$2*'Assumptions'!$B$3*'Assumptions'!$B$4</x:f>
        <x:v>2907.9385416666673</x:v>
      </x:c>
      <x:c r="E15" s="91" t="n">
        <x:f>C15*('Assumptions'!$B$7+'Assumptions'!$B$8)*'Assumptions'!$B$6</x:f>
        <x:v>273</x:v>
      </x:c>
      <x:c r="F15" t="str">
        <x:f>IF(AND(B15&gt;=0,B15&lt;=1,C15&gt;=0,C15&lt;=1),"PASS","CHECK")</x:f>
        <x:v>PASS</x:v>
      </x:c>
    </x:row>
    <x:row r="16">
      <x:c r="A16" t="n">
        <x:v>12</x:v>
      </x:c>
      <x:c r="B16" s="92" t="n">
        <x:v>0.887974537037037</x:v>
      </x:c>
      <x:c r="C16" s="92" t="n">
        <x:v>0.5333333333333333</x:v>
      </x:c>
      <x:c r="D16" s="91" t="n">
        <x:f>B16*'Assumptions'!$B$2*'Assumptions'!$B$3*'Assumptions'!$B$4</x:f>
        <x:v>3170.0690972222214</x:v>
      </x:c>
      <x:c r="E16" s="91" t="n">
        <x:f>C16*('Assumptions'!$B$7+'Assumptions'!$B$8)*'Assumptions'!$B$6</x:f>
        <x:v>312</x:v>
      </x:c>
      <x:c r="F16" t="str">
        <x:f>IF(AND(B16&gt;=0,B16&lt;=1,C16&gt;=0,C16&lt;=1),"PASS","CHECK")</x:f>
        <x:v>PASS</x:v>
      </x:c>
    </x:row>
    <x:row r="17">
      <x:c r="A17" t="n">
        <x:v>13</x:v>
      </x:c>
      <x:c r="B17" s="92" t="n">
        <x:v>0.9391087962962964</x:v>
      </x:c>
      <x:c r="C17" s="92" t="n">
        <x:v>0.6</x:v>
      </x:c>
      <x:c r="D17" s="91" t="n">
        <x:f>B17*'Assumptions'!$B$2*'Assumptions'!$B$3*'Assumptions'!$B$4</x:f>
        <x:v>3352.6184027777776</x:v>
      </x:c>
      <x:c r="E17" s="91" t="n">
        <x:f>C17*('Assumptions'!$B$7+'Assumptions'!$B$8)*'Assumptions'!$B$6</x:f>
        <x:v>351</x:v>
      </x:c>
      <x:c r="F17" t="str">
        <x:f>IF(AND(B17&gt;=0,B17&lt;=1,C17&gt;=0,C17&lt;=1),"PASS","CHECK")</x:f>
        <x:v>PASS</x:v>
      </x:c>
    </x:row>
    <x:row r="18">
      <x:c r="A18" t="n">
        <x:v>14</x:v>
      </x:c>
      <x:c r="B18" s="92" t="n">
        <x:v>0.9717939814814816</x:v>
      </x:c>
      <x:c r="C18" s="92" t="n">
        <x:v>0.6666666666666666</x:v>
      </x:c>
      <x:c r="D18" s="91" t="n">
        <x:f>B18*'Assumptions'!$B$2*'Assumptions'!$B$3*'Assumptions'!$B$4</x:f>
        <x:v>3469.3045138888892</x:v>
      </x:c>
      <x:c r="E18" s="91" t="n">
        <x:f>C18*('Assumptions'!$B$7+'Assumptions'!$B$8)*'Assumptions'!$B$6</x:f>
        <x:v>390</x:v>
      </x:c>
      <x:c r="F18" t="str">
        <x:f>IF(AND(B18&gt;=0,B18&lt;=1,C18&gt;=0,C18&lt;=1),"PASS","CHECK")</x:f>
        <x:v>PASS</x:v>
      </x:c>
    </x:row>
    <x:row r="19">
      <x:c r="A19" t="n">
        <x:v>15</x:v>
      </x:c>
      <x:c r="B19" s="92" t="n">
        <x:v>0.9900347222222221</x:v>
      </x:c>
      <x:c r="C19" s="92" t="n">
        <x:v>0.7333333333333333</x:v>
      </x:c>
      <x:c r="D19" s="91" t="n">
        <x:f>B19*'Assumptions'!$B$2*'Assumptions'!$B$3*'Assumptions'!$B$4</x:f>
        <x:v>3534.423958333333</x:v>
      </x:c>
      <x:c r="E19" s="91" t="n">
        <x:f>C19*('Assumptions'!$B$7+'Assumptions'!$B$8)*'Assumptions'!$B$6</x:f>
        <x:v>429</x:v>
      </x:c>
      <x:c r="F19" t="str">
        <x:f>IF(AND(B19&gt;=0,B19&lt;=1,C19&gt;=0,C19&lt;=1),"PASS","CHECK")</x:f>
        <x:v>PASS</x:v>
      </x:c>
    </x:row>
    <x:row r="20">
      <x:c r="A20" t="n">
        <x:v>16</x:v>
      </x:c>
      <x:c r="B20" s="92" t="n">
        <x:v>0.9980324074074074</x:v>
      </x:c>
      <x:c r="C20" s="92" t="n">
        <x:v>0.8</x:v>
      </x:c>
      <x:c r="D20" s="91" t="n">
        <x:f>B20*'Assumptions'!$B$2*'Assumptions'!$B$3*'Assumptions'!$B$4</x:f>
        <x:v>3562.975694444444</x:v>
      </x:c>
      <x:c r="E20" s="91" t="n">
        <x:f>C20*('Assumptions'!$B$7+'Assumptions'!$B$8)*'Assumptions'!$B$6</x:f>
        <x:v>468</x:v>
      </x:c>
      <x:c r="F20" t="str">
        <x:f>IF(AND(B20&gt;=0,B20&lt;=1,C20&gt;=0,C20&lt;=1),"PASS","CHECK")</x:f>
        <x:v>PASS</x:v>
      </x:c>
    </x:row>
    <x:row r="21">
      <x:c r="A21" t="n">
        <x:v>17</x:v>
      </x:c>
      <x:c r="B21" s="92" t="n">
        <x:v>1</x:v>
      </x:c>
      <x:c r="C21" s="92" t="n">
        <x:v>0.8666666666666667</x:v>
      </x:c>
      <x:c r="D21" s="91" t="n">
        <x:f>B21*'Assumptions'!$B$2*'Assumptions'!$B$3*'Assumptions'!$B$4</x:f>
        <x:v>3570</x:v>
      </x:c>
      <x:c r="E21" s="91" t="n">
        <x:f>C21*('Assumptions'!$B$7+'Assumptions'!$B$8)*'Assumptions'!$B$6</x:f>
        <x:v>507</x:v>
      </x:c>
      <x:c r="F21" t="str">
        <x:f>IF(AND(B21&gt;=0,B21&lt;=1,C21&gt;=0,C21&lt;=1),"PASS","CHECK")</x:f>
        <x:v>PASS</x:v>
      </x:c>
    </x:row>
    <x:row r="22">
      <x:c r="A22" t="n">
        <x:v>18</x:v>
      </x:c>
      <x:c r="B22" s="92" t="n">
        <x:v>1</x:v>
      </x:c>
      <x:c r="C22" s="92" t="n">
        <x:v>0.9333333333333333</x:v>
      </x:c>
      <x:c r="D22" s="91" t="n">
        <x:f>B22*'Assumptions'!$B$2*'Assumptions'!$B$3*'Assumptions'!$B$4</x:f>
        <x:v>3570</x:v>
      </x:c>
      <x:c r="E22" s="91" t="n">
        <x:f>C22*('Assumptions'!$B$7+'Assumptions'!$B$8)*'Assumptions'!$B$6</x:f>
        <x:v>546</x:v>
      </x:c>
      <x:c r="F22" t="str">
        <x:f>IF(AND(B22&gt;=0,B22&lt;=1,C22&gt;=0,C22&lt;=1),"PASS","CHECK")</x:f>
        <x:v>PASS</x:v>
      </x:c>
    </x:row>
    <x:row r="23">
      <x:c r="A23" t="n">
        <x:v>19</x:v>
      </x:c>
      <x:c r="B23" s="92" t="n">
        <x:v>1</x:v>
      </x:c>
      <x:c r="C23" s="92" t="n">
        <x:v>1</x:v>
      </x:c>
      <x:c r="D23" s="91" t="n">
        <x:f>B23*'Assumptions'!$B$2*'Assumptions'!$B$3*'Assumptions'!$B$4</x:f>
        <x:v>3570</x:v>
      </x:c>
      <x:c r="E23" s="91" t="n">
        <x:f>C23*('Assumptions'!$B$7+'Assumptions'!$B$8)*'Assumptions'!$B$6</x:f>
        <x:v>585</x:v>
      </x:c>
      <x:c r="F23" t="str">
        <x:f>IF(AND(B23&gt;=0,B23&lt;=1,C23&gt;=0,C23&lt;=1),"PASS","CHECK")</x:f>
        <x:v>PASS</x:v>
      </x:c>
    </x:row>
    <x:row r="24">
      <x:c r="A24" t="n">
        <x:v>20</x:v>
      </x:c>
      <x:c r="B24" s="92" t="n">
        <x:v>1</x:v>
      </x:c>
      <x:c r="C24" s="92" t="n">
        <x:v>1</x:v>
      </x:c>
      <x:c r="D24" s="91" t="n">
        <x:f>B24*'Assumptions'!$B$2*'Assumptions'!$B$3*'Assumptions'!$B$4</x:f>
        <x:v>3570</x:v>
      </x:c>
      <x:c r="E24" s="91" t="n">
        <x:f>C24*('Assumptions'!$B$7+'Assumptions'!$B$8)*'Assumptions'!$B$6</x:f>
        <x:v>585</x:v>
      </x:c>
      <x:c r="F24" t="str">
        <x:f>IF(AND(B24&gt;=0,B24&lt;=1,C24&gt;=0,C24&lt;=1),"PASS","CHECK")</x:f>
        <x:v>PASS</x:v>
      </x:c>
    </x:row>
    <x:row r="25">
      <x:c r="A25" t="n">
        <x:v>21</x:v>
      </x:c>
      <x:c r="B25" s="92" t="n">
        <x:v>1</x:v>
      </x:c>
      <x:c r="C25" s="92" t="n">
        <x:v>1</x:v>
      </x:c>
      <x:c r="D25" s="91" t="n">
        <x:f>B25*'Assumptions'!$B$2*'Assumptions'!$B$3*'Assumptions'!$B$4</x:f>
        <x:v>3570</x:v>
      </x:c>
      <x:c r="E25" s="91" t="n">
        <x:f>C25*('Assumptions'!$B$7+'Assumptions'!$B$8)*'Assumptions'!$B$6</x:f>
        <x:v>585</x:v>
      </x:c>
      <x:c r="F25" t="str">
        <x:f>IF(AND(B25&gt;=0,B25&lt;=1,C25&gt;=0,C25&lt;=1),"PASS","CHECK")</x:f>
        <x:v>PASS</x:v>
      </x:c>
    </x:row>
    <x:row r="26">
      <x:c r="A26" t="n">
        <x:v>22</x:v>
      </x:c>
      <x:c r="B26" s="92" t="n">
        <x:v>1</x:v>
      </x:c>
      <x:c r="C26" s="92" t="n">
        <x:v>1</x:v>
      </x:c>
      <x:c r="D26" s="91" t="n">
        <x:f>B26*'Assumptions'!$B$2*'Assumptions'!$B$3*'Assumptions'!$B$4</x:f>
        <x:v>3570</x:v>
      </x:c>
      <x:c r="E26" s="91" t="n">
        <x:f>C26*('Assumptions'!$B$7+'Assumptions'!$B$8)*'Assumptions'!$B$6</x:f>
        <x:v>585</x:v>
      </x:c>
      <x:c r="F26" t="str">
        <x:f>IF(AND(B26&gt;=0,B26&lt;=1,C26&gt;=0,C26&lt;=1),"PASS","CHECK")</x:f>
        <x:v>PASS</x:v>
      </x:c>
    </x:row>
    <x:row r="27">
      <x:c r="A27" t="n">
        <x:v>23</x:v>
      </x:c>
      <x:c r="B27" s="92" t="n">
        <x:v>1</x:v>
      </x:c>
      <x:c r="C27" s="92" t="n">
        <x:v>1</x:v>
      </x:c>
      <x:c r="D27" s="91" t="n">
        <x:f>B27*'Assumptions'!$B$2*'Assumptions'!$B$3*'Assumptions'!$B$4</x:f>
        <x:v>3570</x:v>
      </x:c>
      <x:c r="E27" s="91" t="n">
        <x:f>C27*('Assumptions'!$B$7+'Assumptions'!$B$8)*'Assumptions'!$B$6</x:f>
        <x:v>585</x:v>
      </x:c>
      <x:c r="F27" t="str">
        <x:f>IF(AND(B27&gt;=0,B27&lt;=1,C27&gt;=0,C27&lt;=1),"PASS","CHECK")</x:f>
        <x:v>PASS</x:v>
      </x:c>
    </x:row>
    <x:row r="28">
      <x:c r="A28" t="n">
        <x:v>24</x:v>
      </x:c>
      <x:c r="B28" s="92" t="n">
        <x:v>1</x:v>
      </x:c>
      <x:c r="C28" s="92" t="n">
        <x:v>1</x:v>
      </x:c>
      <x:c r="D28" s="91" t="n">
        <x:f>B28*'Assumptions'!$B$2*'Assumptions'!$B$3*'Assumptions'!$B$4</x:f>
        <x:v>3570</x:v>
      </x:c>
      <x:c r="E28" s="91" t="n">
        <x:f>C28*('Assumptions'!$B$7+'Assumptions'!$B$8)*'Assumptions'!$B$6</x:f>
        <x:v>585</x:v>
      </x:c>
      <x:c r="F28" t="str">
        <x:f>IF(AND(B28&gt;=0,B28&lt;=1,C28&gt;=0,C28&lt;=1),"PASS","CHECK")</x:f>
        <x:v>PASS</x:v>
      </x:c>
    </x:row>
    <x:row r="29">
      <x:c r="A29" t="n">
        <x:v>25</x:v>
      </x:c>
      <x:c r="B29" s="92" t="n">
        <x:v>1</x:v>
      </x:c>
      <x:c r="C29" s="92" t="n">
        <x:v>1</x:v>
      </x:c>
      <x:c r="D29" s="91" t="n">
        <x:f>B29*'Assumptions'!$B$2*'Assumptions'!$B$3*'Assumptions'!$B$4</x:f>
        <x:v>3570</x:v>
      </x:c>
      <x:c r="E29" s="91" t="n">
        <x:f>C29*('Assumptions'!$B$7+'Assumptions'!$B$8)*'Assumptions'!$B$6</x:f>
        <x:v>585</x:v>
      </x:c>
      <x:c r="F29" t="str">
        <x:f>IF(AND(B29&gt;=0,B29&lt;=1,C29&gt;=0,C29&lt;=1),"PASS","CHECK")</x:f>
        <x:v>PASS</x:v>
      </x:c>
    </x:row>
    <x:row r="30">
      <x:c r="A30" t="n">
        <x:v>26</x:v>
      </x:c>
      <x:c r="B30" s="92" t="n">
        <x:v>1</x:v>
      </x:c>
      <x:c r="C30" s="92" t="n">
        <x:v>1</x:v>
      </x:c>
      <x:c r="D30" s="91" t="n">
        <x:f>B30*'Assumptions'!$B$2*'Assumptions'!$B$3*'Assumptions'!$B$4</x:f>
        <x:v>3570</x:v>
      </x:c>
      <x:c r="E30" s="91" t="n">
        <x:f>C30*('Assumptions'!$B$7+'Assumptions'!$B$8)*'Assumptions'!$B$6</x:f>
        <x:v>585</x:v>
      </x:c>
      <x:c r="F30" t="str">
        <x:f>IF(AND(B30&gt;=0,B30&lt;=1,C30&gt;=0,C30&lt;=1),"PASS","CHECK")</x:f>
        <x:v>PASS</x:v>
      </x:c>
    </x:row>
    <x:row r="31">
      <x:c r="A31" t="n">
        <x:v>27</x:v>
      </x:c>
      <x:c r="B31" s="92" t="n">
        <x:v>1</x:v>
      </x:c>
      <x:c r="C31" s="92" t="n">
        <x:v>1</x:v>
      </x:c>
      <x:c r="D31" s="91" t="n">
        <x:f>B31*'Assumptions'!$B$2*'Assumptions'!$B$3*'Assumptions'!$B$4</x:f>
        <x:v>3570</x:v>
      </x:c>
      <x:c r="E31" s="91" t="n">
        <x:f>C31*('Assumptions'!$B$7+'Assumptions'!$B$8)*'Assumptions'!$B$6</x:f>
        <x:v>585</x:v>
      </x:c>
      <x:c r="F31" t="str">
        <x:f>IF(AND(B31&gt;=0,B31&lt;=1,C31&gt;=0,C31&lt;=1),"PASS","CHECK")</x:f>
        <x:v>PASS</x:v>
      </x:c>
    </x:row>
    <x:row r="32">
      <x:c r="A32" t="n">
        <x:v>28</x:v>
      </x:c>
      <x:c r="B32" s="92" t="n">
        <x:v>1</x:v>
      </x:c>
      <x:c r="C32" s="92" t="n">
        <x:v>1</x:v>
      </x:c>
      <x:c r="D32" s="91" t="n">
        <x:f>B32*'Assumptions'!$B$2*'Assumptions'!$B$3*'Assumptions'!$B$4</x:f>
        <x:v>3570</x:v>
      </x:c>
      <x:c r="E32" s="91" t="n">
        <x:f>C32*('Assumptions'!$B$7+'Assumptions'!$B$8)*'Assumptions'!$B$6</x:f>
        <x:v>585</x:v>
      </x:c>
      <x:c r="F32" t="str">
        <x:f>IF(AND(B32&gt;=0,B32&lt;=1,C32&gt;=0,C32&lt;=1),"PASS","CHECK")</x:f>
        <x:v>PASS</x:v>
      </x:c>
    </x:row>
    <x:row r="33">
      <x:c r="A33" t="n">
        <x:v>29</x:v>
      </x:c>
      <x:c r="B33" s="92" t="n">
        <x:v>1</x:v>
      </x:c>
      <x:c r="C33" s="92" t="n">
        <x:v>1</x:v>
      </x:c>
      <x:c r="D33" s="91" t="n">
        <x:f>B33*'Assumptions'!$B$2*'Assumptions'!$B$3*'Assumptions'!$B$4</x:f>
        <x:v>3570</x:v>
      </x:c>
      <x:c r="E33" s="91" t="n">
        <x:f>C33*('Assumptions'!$B$7+'Assumptions'!$B$8)*'Assumptions'!$B$6</x:f>
        <x:v>585</x:v>
      </x:c>
      <x:c r="F33" t="str">
        <x:f>IF(AND(B33&gt;=0,B33&lt;=1,C33&gt;=0,C33&lt;=1),"PASS","CHECK")</x:f>
        <x:v>PASS</x:v>
      </x:c>
    </x:row>
    <x:row r="34">
      <x:c r="A34" t="n">
        <x:v>30</x:v>
      </x:c>
      <x:c r="B34" s="92" t="n">
        <x:v>1</x:v>
      </x:c>
      <x:c r="C34" s="92" t="n">
        <x:v>1</x:v>
      </x:c>
      <x:c r="D34" s="91" t="n">
        <x:f>B34*'Assumptions'!$B$2*'Assumptions'!$B$3*'Assumptions'!$B$4</x:f>
        <x:v>3570</x:v>
      </x:c>
      <x:c r="E34" s="91" t="n">
        <x:f>C34*('Assumptions'!$B$7+'Assumptions'!$B$8)*'Assumptions'!$B$6</x:f>
        <x:v>585</x:v>
      </x:c>
      <x:c r="F34" t="str">
        <x:f>IF(AND(B34&gt;=0,B34&lt;=1,C34&gt;=0,C34&lt;=1),"PASS","CHECK")</x:f>
        <x:v>PASS</x:v>
      </x:c>
    </x:row>
    <x:row r="35">
      <x:c r="A35" t="n">
        <x:v>31</x:v>
      </x:c>
      <x:c r="B35" s="92" t="n">
        <x:v>1</x:v>
      </x:c>
      <x:c r="C35" s="92" t="n">
        <x:v>1</x:v>
      </x:c>
      <x:c r="D35" s="91" t="n">
        <x:f>B35*'Assumptions'!$B$2*'Assumptions'!$B$3*'Assumptions'!$B$4</x:f>
        <x:v>3570</x:v>
      </x:c>
      <x:c r="E35" s="91" t="n">
        <x:f>C35*('Assumptions'!$B$7+'Assumptions'!$B$8)*'Assumptions'!$B$6</x:f>
        <x:v>585</x:v>
      </x:c>
      <x:c r="F35" t="str">
        <x:f>IF(AND(B35&gt;=0,B35&lt;=1,C35&gt;=0,C35&lt;=1),"PASS","CHECK")</x:f>
        <x:v>PASS</x:v>
      </x:c>
    </x:row>
    <x:row r="36">
      <x:c r="A36" t="n">
        <x:v>32</x:v>
      </x:c>
      <x:c r="B36" s="92" t="n">
        <x:v>1</x:v>
      </x:c>
      <x:c r="C36" s="92" t="n">
        <x:v>1</x:v>
      </x:c>
      <x:c r="D36" s="91" t="n">
        <x:f>B36*'Assumptions'!$B$2*'Assumptions'!$B$3*'Assumptions'!$B$4</x:f>
        <x:v>3570</x:v>
      </x:c>
      <x:c r="E36" s="91" t="n">
        <x:f>C36*('Assumptions'!$B$7+'Assumptions'!$B$8)*'Assumptions'!$B$6</x:f>
        <x:v>585</x:v>
      </x:c>
      <x:c r="F36" t="str">
        <x:f>IF(AND(B36&gt;=0,B36&lt;=1,C36&gt;=0,C36&lt;=1),"PASS","CHECK")</x:f>
        <x:v>PASS</x:v>
      </x:c>
    </x:row>
    <x:row r="37">
      <x:c r="A37" t="n">
        <x:v>33</x:v>
      </x:c>
      <x:c r="B37" s="92" t="n">
        <x:v>1</x:v>
      </x:c>
      <x:c r="C37" s="92" t="n">
        <x:v>1</x:v>
      </x:c>
      <x:c r="D37" s="91" t="n">
        <x:f>B37*'Assumptions'!$B$2*'Assumptions'!$B$3*'Assumptions'!$B$4</x:f>
        <x:v>3570</x:v>
      </x:c>
      <x:c r="E37" s="91" t="n">
        <x:f>C37*('Assumptions'!$B$7+'Assumptions'!$B$8)*'Assumptions'!$B$6</x:f>
        <x:v>585</x:v>
      </x:c>
      <x:c r="F37" t="str">
        <x:f>IF(AND(B37&gt;=0,B37&lt;=1,C37&gt;=0,C37&lt;=1),"PASS","CHECK")</x:f>
        <x:v>PASS</x:v>
      </x:c>
    </x:row>
    <x:row r="38">
      <x:c r="A38" t="n">
        <x:v>34</x:v>
      </x:c>
      <x:c r="B38" s="92" t="n">
        <x:v>1</x:v>
      </x:c>
      <x:c r="C38" s="92" t="n">
        <x:v>1</x:v>
      </x:c>
      <x:c r="D38" s="91" t="n">
        <x:f>B38*'Assumptions'!$B$2*'Assumptions'!$B$3*'Assumptions'!$B$4</x:f>
        <x:v>3570</x:v>
      </x:c>
      <x:c r="E38" s="91" t="n">
        <x:f>C38*('Assumptions'!$B$7+'Assumptions'!$B$8)*'Assumptions'!$B$6</x:f>
        <x:v>585</x:v>
      </x:c>
      <x:c r="F38" t="str">
        <x:f>IF(AND(B38&gt;=0,B38&lt;=1,C38&gt;=0,C38&lt;=1),"PASS","CHECK")</x:f>
        <x:v>PASS</x:v>
      </x:c>
    </x:row>
    <x:row r="39">
      <x:c r="A39" t="n">
        <x:v>35</x:v>
      </x:c>
      <x:c r="B39" s="92" t="n">
        <x:v>1</x:v>
      </x:c>
      <x:c r="C39" s="92" t="n">
        <x:v>1</x:v>
      </x:c>
      <x:c r="D39" s="91" t="n">
        <x:f>B39*'Assumptions'!$B$2*'Assumptions'!$B$3*'Assumptions'!$B$4</x:f>
        <x:v>3570</x:v>
      </x:c>
      <x:c r="E39" s="91" t="n">
        <x:f>C39*('Assumptions'!$B$7+'Assumptions'!$B$8)*'Assumptions'!$B$6</x:f>
        <x:v>585</x:v>
      </x:c>
      <x:c r="F39" t="str">
        <x:f>IF(AND(B39&gt;=0,B39&lt;=1,C39&gt;=0,C39&lt;=1),"PASS","CHECK")</x:f>
        <x:v>PASS</x:v>
      </x:c>
    </x:row>
    <x:row r="40">
      <x:c r="A40" t="n">
        <x:v>36</x:v>
      </x:c>
      <x:c r="B40" s="92" t="n">
        <x:v>1</x:v>
      </x:c>
      <x:c r="C40" s="92" t="n">
        <x:v>1</x:v>
      </x:c>
      <x:c r="D40" s="91" t="n">
        <x:f>B40*'Assumptions'!$B$2*'Assumptions'!$B$3*'Assumptions'!$B$4</x:f>
        <x:v>3570</x:v>
      </x:c>
      <x:c r="E40" s="91" t="n">
        <x:f>C40*('Assumptions'!$B$7+'Assumptions'!$B$8)*'Assumptions'!$B$6</x:f>
        <x:v>585</x:v>
      </x:c>
      <x:c r="F40" t="str">
        <x:f>IF(AND(B40&gt;=0,B40&lt;=1,C40&gt;=0,C40&lt;=1),"PASS","CHECK")</x:f>
        <x:v>PASS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1" hidden="0" customWidth="1"/>
    <x:col min="3" max="3" width="43" hidden="0" customWidth="1"/>
    <x:col min="4" max="4" width="26" hidden="0" customWidth="1"/>
    <x:col min="5" max="5" width="76" hidden="0" customWidth="1"/>
    <x:col min="6" max="6" width="33" hidden="0" customWidth="1"/>
    <x:col min="7" max="7" width="80" hidden="0" customWidth="1"/>
    <x:col min="8" max="8" width="26" hidden="0" customWidth="1"/>
    <x:col min="9" max="9" width="60" hidden="0" customWidth="1"/>
  </x:cols>
  <x:sheetData>
    <x:row r="1" ht="29" customHeight="1">
      <x:c r="A1" s="66" t="str">
        <x:v>ID</x:v>
      </x:c>
      <x:c r="B1" s="66" t="str">
        <x:v>DRIVER / DECISION INPUT</x:v>
      </x:c>
      <x:c r="C1" s="66" t="str">
        <x:v>MASTER LOCATION</x:v>
      </x:c>
      <x:c r="D1" s="66" t="str">
        <x:v>EVIDENCE CLASS</x:v>
      </x:c>
      <x:c r="E1" s="66" t="str">
        <x:v>BASIS / SOURCE</x:v>
      </x:c>
      <x:c r="F1" s="66" t="str">
        <x:v>OWNER TO VERIFY</x:v>
      </x:c>
      <x:c r="G1" s="66" t="str">
        <x:v>REQUIRED TEST / ARTEFACT</x:v>
      </x:c>
      <x:c r="H1" s="66" t="str">
        <x:v>VALIDATION STATUS</x:v>
      </x:c>
      <x:c r="I1" s="66" t="str">
        <x:v>DECISION CONSEQUENCE</x:v>
      </x:c>
    </x:row>
    <x:row r="2" ht="65" customHeight="1">
      <x:c r="A2" s="63" t="str">
        <x:v>E01</x:v>
      </x:c>
      <x:c r="B2" s="63" t="str">
        <x:v>Enterprise population / 52,000</x:v>
      </x:c>
      <x:c r="C2" s="63" t="str">
        <x:v>Assumptions!B31</x:v>
      </x:c>
      <x:c r="D2" s="63" t="str">
        <x:v>BRIEF</x:v>
      </x:c>
      <x:c r="E2" s="63" t="str">
        <x:v>Case brief, company profile</x:v>
      </x:c>
      <x:c r="F2" s="63" t="str">
        <x:v>HC + HRIS</x:v>
      </x:c>
      <x:c r="G2" s="63" t="str">
        <x:v>Reconcile active and contingent employee counts</x:v>
      </x:c>
      <x:c r="H2" s="63" t="str">
        <x:v>BRIEF-ONLY</x:v>
      </x:c>
      <x:c r="I2" s="63" t="str">
        <x:v>Enterprise rollout denominator</x:v>
      </x:c>
    </x:row>
    <x:row r="3" ht="65" customHeight="1">
      <x:c r="A3" s="63" t="str">
        <x:v>E02</x:v>
      </x:c>
      <x:c r="B3" s="63" t="str">
        <x:v>FM population / 6,000</x:v>
      </x:c>
      <x:c r="C3" s="63" t="str">
        <x:v>Assumptions!B2</x:v>
      </x:c>
      <x:c r="D3" s="63" t="str">
        <x:v>BRIEF</x:v>
      </x:c>
      <x:c r="E3" s="63" t="str">
        <x:v>Case complication; estimated impacted family</x:v>
      </x:c>
      <x:c r="F3" s="63" t="str">
        <x:v>HC Workforce</x:v>
      </x:c>
      <x:c r="G3" s="63" t="str">
        <x:v>Six-region worker / task census</x:v>
      </x:c>
      <x:c r="H3" s="63" t="str">
        <x:v>BRIEF-ONLY</x:v>
      </x:c>
      <x:c r="I3" s="63" t="str">
        <x:v>Pilot scope</x:v>
      </x:c>
    </x:row>
    <x:row r="4" ht="65" customHeight="1">
      <x:c r="A4" s="63" t="str">
        <x:v>E03</x:v>
      </x:c>
      <x:c r="B4" s="63" t="str">
        <x:v>FM automation exposure / 70%</x:v>
      </x:c>
      <x:c r="C4" s="63" t="str">
        <x:v>Assumptions!B3</x:v>
      </x:c>
      <x:c r="D4" s="63" t="str">
        <x:v>BRIEF</x:v>
      </x:c>
      <x:c r="E4" s="63" t="str">
        <x:v>Case complication; workload estimate, not people</x:v>
      </x:c>
      <x:c r="F4" s="63" t="str">
        <x:v>Technology + Ops</x:v>
      </x:c>
      <x:c r="G4" s="63" t="str">
        <x:v>Task-hours audit by region/field task</x:v>
      </x:c>
      <x:c r="H4" s="63" t="str">
        <x:v>BRIEF-ONLY</x:v>
      </x:c>
      <x:c r="I4" s="63" t="str">
        <x:v>Exposure; not actual displacement</x:v>
      </x:c>
    </x:row>
    <x:row r="5" ht="65" customHeight="1">
      <x:c r="A5" s="63" t="str">
        <x:v>E04</x:v>
      </x:c>
      <x:c r="B5" s="63" t="str">
        <x:v>Realization / 85%</x:v>
      </x:c>
      <x:c r="C5" s="63" t="str">
        <x:v>Assumptions!B4</x:v>
      </x:c>
      <x:c r="D5" s="63" t="str">
        <x:v>SYNTHETIC</x:v>
      </x:c>
      <x:c r="E5" s="63" t="str">
        <x:v>Analyst scenario converting exposed to realized WE</x:v>
      </x:c>
      <x:c r="F5" s="63" t="str">
        <x:v>Technology + Ops</x:v>
      </x:c>
      <x:c r="G5" s="63" t="str">
        <x:v>Rollout plan; telemetry task-rate audit</x:v>
      </x:c>
      <x:c r="H5" s="63" t="str">
        <x:v>UNVALIDATED</x:v>
      </x:c>
      <x:c r="I5" s="63" t="str">
        <x:v>3,570 WE by M18/M36</x:v>
      </x:c>
    </x:row>
    <x:row r="6" ht="65" customHeight="1">
      <x:c r="A6" s="63" t="str">
        <x:v>E05</x:v>
      </x:c>
      <x:c r="B6" s="63" t="str">
        <x:v>Natural no-backfill attrition / 2.5%</x:v>
      </x:c>
      <x:c r="C6" s="63" t="str">
        <x:v>Assumptions!B5</x:v>
      </x:c>
      <x:c r="D6" s="63" t="str">
        <x:v>SYNTHETIC</x:v>
      </x:c>
      <x:c r="E6" s="63" t="str">
        <x:v>Uniform 36-month sensitivity</x:v>
      </x:c>
      <x:c r="F6" s="63" t="str">
        <x:v>HC Planning</x:v>
      </x:c>
      <x:c r="G6" s="63" t="str">
        <x:v>Voluntary age/exit aggregates, local compliance</x:v>
      </x:c>
      <x:c r="H6" s="63" t="str">
        <x:v>UNVALIDATED</x:v>
      </x:c>
      <x:c r="I6" s="63" t="str">
        <x:v>Offsets pressure, not matched people</x:v>
      </x:c>
    </x:row>
    <x:row r="7" ht="65" customHeight="1">
      <x:c r="A7" s="63" t="str">
        <x:v>E06</x:v>
      </x:c>
      <x:c r="B7" s="63" t="str">
        <x:v>Readiness / 65%</x:v>
      </x:c>
      <x:c r="C7" s="63" t="str">
        <x:v>Assumptions!B6</x:v>
      </x:c>
      <x:c r="D7" s="63" t="str">
        <x:v>SYNTHETIC</x:v>
      </x:c>
      <x:c r="E7" s="63" t="str">
        <x:v>Receiving-work matchability factor</x:v>
      </x:c>
      <x:c r="F7" s="63" t="str">
        <x:v>HC + receiving SME</x:v>
      </x:c>
      <x:c r="G7" s="63" t="str">
        <x:v>Opt-in assessments plus safety/proficiency evidence</x:v>
      </x:c>
      <x:c r="H7" s="63" t="str">
        <x:v>UNVALIDATED</x:v>
      </x:c>
      <x:c r="I7" s="63" t="str">
        <x:v>585 potential WE at M36</x:v>
      </x:c>
    </x:row>
    <x:row r="8" ht="65" customHeight="1">
      <x:c r="A8" s="63" t="str">
        <x:v>E07</x:v>
      </x:c>
      <x:c r="B8" s="63" t="str">
        <x:v>Nonvendor demand / 660 WE</x:v>
      </x:c>
      <x:c r="C8" s="63" t="str">
        <x:v>Assumptions!B7</x:v>
      </x:c>
      <x:c r="D8" s="63" t="str">
        <x:v>SYNTHETIC</x:v>
      </x:c>
      <x:c r="E8" s="63" t="str">
        <x:v>Three receiving areas, not backed</x:v>
      </x:c>
      <x:c r="F8" s="63" t="str">
        <x:v>Operations + Finance</x:v>
      </x:c>
      <x:c r="G8" s="63" t="str">
        <x:v>Funded workload demand + two independent sources</x:v>
      </x:c>
      <x:c r="H8" s="63" t="str">
        <x:v>CLAIMED</x:v>
      </x:c>
      <x:c r="I8" s="63" t="str">
        <x:v>Cannot count confirmed placement</x:v>
      </x:c>
    </x:row>
    <x:row r="9" ht="65" customHeight="1">
      <x:c r="A9" s="63" t="str">
        <x:v>E08</x:v>
      </x:c>
      <x:c r="B9" s="63" t="str">
        <x:v>Vendor candidate demand / 240 WE</x:v>
      </x:c>
      <x:c r="C9" s="63" t="str">
        <x:v>Assumptions!B8</x:v>
      </x:c>
      <x:c r="D9" s="63" t="str">
        <x:v>UNVERIFIED OPTION</x:v>
      </x:c>
      <x:c r="E9" s="63" t="str">
        <x:v>No contractor spend in brief</x:v>
      </x:c>
      <x:c r="F9" s="63" t="str">
        <x:v>Procurement + Finance</x:v>
      </x:c>
      <x:c r="G9" s="63" t="str">
        <x:v>Cancellable contract, task substitution, full unit economics</x:v>
      </x:c>
      <x:c r="H9" s="63" t="str">
        <x:v>UNVALIDATED</x:v>
      </x:c>
      <x:c r="I9" s="63" t="str">
        <x:v>Cash case conditional</x:v>
      </x:c>
    </x:row>
    <x:row r="10" ht="65" customHeight="1">
      <x:c r="A10" s="63" t="str">
        <x:v>E09</x:v>
      </x:c>
      <x:c r="B10" s="63" t="str">
        <x:v>Engagement fee / Rp3,500m</x:v>
      </x:c>
      <x:c r="C10" s="63" t="str">
        <x:v>Assumptions!B9</x:v>
      </x:c>
      <x:c r="D10" s="63" t="str">
        <x:v>BRIEF</x:v>
      </x:c>
      <x:c r="E10" s="63" t="str">
        <x:v>12-month Rakamin engagement</x:v>
      </x:c>
      <x:c r="F10" s="63" t="str">
        <x:v>Client sponsor</x:v>
      </x:c>
      <x:c r="G10" s="63" t="str">
        <x:v>Scope, invoice schedule, overlap with delivery</x:v>
      </x:c>
      <x:c r="H10" s="63" t="str">
        <x:v>BRIEF-ONLY</x:v>
      </x:c>
      <x:c r="I10" s="63" t="str">
        <x:v>Do not request fee twice</x:v>
      </x:c>
    </x:row>
    <x:row r="11" ht="65" customHeight="1">
      <x:c r="A11" s="63" t="str">
        <x:v>E10</x:v>
      </x:c>
      <x:c r="B11" s="63" t="str">
        <x:v>Implementation Y1 / Rp1,500m</x:v>
      </x:c>
      <x:c r="C11" s="63" t="str">
        <x:v>Assumptions!B10</x:v>
      </x:c>
      <x:c r="D11" s="63" t="str">
        <x:v>SYNTHETIC</x:v>
      </x:c>
      <x:c r="E11" s="63" t="str">
        <x:v>Illustrative Y1 envelope</x:v>
      </x:c>
      <x:c r="F11" s="63" t="str">
        <x:v>Finance + Procurement</x:v>
      </x:c>
      <x:c r="G11" s="63" t="str">
        <x:v>Cost code and work package ownership</x:v>
      </x:c>
      <x:c r="H11" s="63" t="str">
        <x:v>UNVALIDATED</x:v>
      </x:c>
      <x:c r="I11" s="63" t="str">
        <x:v>Not authorised TCO</x:v>
      </x:c>
    </x:row>
    <x:row r="12" ht="65" customHeight="1">
      <x:c r="A12" s="63" t="str">
        <x:v>E11</x:v>
      </x:c>
      <x:c r="B12" s="63" t="str">
        <x:v>Support Y2/Y3 / Rp500m each</x:v>
      </x:c>
      <x:c r="C12" s="63" t="str">
        <x:v>Assumptions!B11:B12</x:v>
      </x:c>
      <x:c r="D12" s="63" t="str">
        <x:v>SYNTHETIC</x:v>
      </x:c>
      <x:c r="E12" s="63" t="str">
        <x:v>Illustrative operating expense envelope</x:v>
      </x:c>
      <x:c r="F12" s="63" t="str">
        <x:v>Finance + IT</x:v>
      </x:c>
      <x:c r="G12" s="63" t="str">
        <x:v>Operational ownership and support timing</x:v>
      </x:c>
      <x:c r="H12" s="63" t="str">
        <x:v>UNVALIDATED</x:v>
      </x:c>
      <x:c r="I12" s="63" t="str">
        <x:v>Cost denominator</x:v>
      </x:c>
    </x:row>
    <x:row r="13" ht="65" customHeight="1">
      <x:c r="A13" s="63" t="str">
        <x:v>E12</x:v>
      </x:c>
      <x:c r="B13" s="63" t="str">
        <x:v>Avoidable vendor value / Rp6m per FTE-month</x:v>
      </x:c>
      <x:c r="C13" s="63" t="str">
        <x:v>Assumptions!B13</x:v>
      </x:c>
      <x:c r="D13" s="63" t="str">
        <x:v>SENSITIVITY ONLY</x:v>
      </x:c>
      <x:c r="E13" s="63" t="str">
        <x:v>Not a Client procurement rate</x:v>
      </x:c>
      <x:c r="F13" s="63" t="str">
        <x:v>Procurement + Finance</x:v>
      </x:c>
      <x:c r="G13" s="63" t="str">
        <x:v>Signed invoice rate, net avoidability, ramp period</x:v>
      </x:c>
      <x:c r="H13" s="63" t="str">
        <x:v>UNVALIDATED</x:v>
      </x:c>
      <x:c r="I13" s="63" t="str">
        <x:v>Upside ROI not baseline return</x:v>
      </x:c>
    </x:row>
    <x:row r="14" ht="65" customHeight="1">
      <x:c r="A14" s="63" t="str">
        <x:v>E13</x:v>
      </x:c>
      <x:c r="B14" s="63" t="str">
        <x:v>Nonvendor value / Rp0,2,4m range</x:v>
      </x:c>
      <x:c r="C14" s="63" t="str">
        <x:v>Assumptions!B14:B16</x:v>
      </x:c>
      <x:c r="D14" s="63" t="str">
        <x:v>SENSITIVITY ONLY</x:v>
      </x:c>
      <x:c r="E14" s="63" t="str">
        <x:v>Productive output shadow value, NONCASH</x:v>
      </x:c>
      <x:c r="F14" s="63" t="str">
        <x:v>Ops + Finance</x:v>
      </x:c>
      <x:c r="G14" s="63" t="str">
        <x:v>Attributed incremental service output, not salaries</x:v>
      </x:c>
      <x:c r="H14" s="63" t="str">
        <x:v>UNVALIDATED</x:v>
      </x:c>
      <x:c r="I14" s="63" t="str">
        <x:v>Never add to cash ROI</x:v>
      </x:c>
    </x:row>
    <x:row r="15" ht="65" customHeight="1">
      <x:c r="A15" s="63" t="str">
        <x:v>E14</x:v>
      </x:c>
      <x:c r="B15" s="63" t="str">
        <x:v>Annual discount / 10%</x:v>
      </x:c>
      <x:c r="C15" s="63" t="str">
        <x:v>Assumptions!B17</x:v>
      </x:c>
      <x:c r="D15" s="63" t="str">
        <x:v>SYNTHETIC</x:v>
      </x:c>
      <x:c r="E15" s="63" t="str">
        <x:v>Illustrative annual discounting convention</x:v>
      </x:c>
      <x:c r="F15" s="63" t="str">
        <x:v>Finance</x:v>
      </x:c>
      <x:c r="G15" s="63" t="str">
        <x:v>Board approved hurdle and risk adjustment</x:v>
      </x:c>
      <x:c r="H15" s="63" t="str">
        <x:v>UNVALIDATED</x:v>
      </x:c>
      <x:c r="I15" s="63" t="str">
        <x:v>NPV not valuation opinion</x:v>
      </x:c>
    </x:row>
    <x:row r="16" ht="65" customHeight="1">
      <x:c r="A16" s="63" t="str">
        <x:v>E15</x:v>
      </x:c>
      <x:c r="B16" s="63" t="str">
        <x:v>Delayed workforce transition / 12m</x:v>
      </x:c>
      <x:c r="C16" s="63" t="str">
        <x:v>Assumptions!B18</x:v>
      </x:c>
      <x:c r="D16" s="63" t="str">
        <x:v>SYNTHETIC</x:v>
      </x:c>
      <x:c r="E16" s="63" t="str">
        <x:v>Technology proceeds in both options</x:v>
      </x:c>
      <x:c r="F16" s="63" t="str">
        <x:v>PMO + Tech</x:v>
      </x:c>
      <x:c r="G16" s="63" t="str">
        <x:v>Operating schedule independent of workforce workstream</x:v>
      </x:c>
      <x:c r="H16" s="63" t="str">
        <x:v>UNVALIDATED</x:v>
      </x:c>
      <x:c r="I16" s="63" t="str">
        <x:v>1,404 Y1 / 7,020 M36 extra WE-months</x:v>
      </x:c>
    </x:row>
    <x:row r="17" ht="65" customHeight="1">
      <x:c r="A17" s="63" t="str">
        <x:v>E16</x:v>
      </x:c>
      <x:c r="B17" s="63" t="str">
        <x:v>Gated technical rollout delay / 3m</x:v>
      </x:c>
      <x:c r="C17" s="63" t="str">
        <x:v>Assumptions!B28</x:v>
      </x:c>
      <x:c r="D17" s="63" t="str">
        <x:v>SYNTHETIC</x:v>
      </x:c>
      <x:c r="E17" s="63" t="str">
        <x:v>Delay effect only; no long-term demand increase</x:v>
      </x:c>
      <x:c r="F17" s="63" t="str">
        <x:v>Technology + Board</x:v>
      </x:c>
      <x:c r="G17" s="63" t="str">
        <x:v>Authority to change rollout; service impact</x:v>
      </x:c>
      <x:c r="H17" s="63" t="str">
        <x:v>UNVALIDATED</x:v>
      </x:c>
      <x:c r="I17" s="63" t="str">
        <x:v>Conditional gate scenario</x:v>
      </x:c>
    </x:row>
    <x:row r="18" ht="65" customHeight="1">
      <x:c r="A18" s="63" t="str">
        <x:v>E17</x:v>
      </x:c>
      <x:c r="B18" s="63" t="str">
        <x:v>Monthly displacement and match curve</x:v>
      </x:c>
      <x:c r="C18" s="63" t="str">
        <x:v>Ramp Drivers!B4:C40</x:v>
      </x:c>
      <x:c r="D18" s="63" t="str">
        <x:v>CALIBRATED SYNTHETIC</x:v>
      </x:c>
      <x:c r="E18" s="63" t="str">
        <x:v>Normalized legacy 36M baseline series; non-client</x:v>
      </x:c>
      <x:c r="F18" s="63" t="str">
        <x:v>Operations + Technology</x:v>
      </x:c>
      <x:c r="G18" s="63" t="str">
        <x:v>Month-by-month labor hours and rollout milestones</x:v>
      </x:c>
      <x:c r="H18" s="63" t="str">
        <x:v>MODEL CALIBRATION</x:v>
      </x:c>
      <x:c r="I18" s="63" t="str">
        <x:v>Reproduces existing deck under baseline</x:v>
      </x:c>
    </x:row>
    <x:row r="19" ht="65" customHeight="1">
      <x:c r="A19" s="63" t="str">
        <x:v>E18</x:v>
      </x:c>
      <x:c r="B19" s="63" t="str">
        <x:v>Archetype target / 200</x:v>
      </x:c>
      <x:c r="C19" s="63" t="str">
        <x:v>Adoption Workings!B4</x:v>
      </x:c>
      <x:c r="D19" s="63" t="str">
        <x:v>PLANNING ASSUMPTION</x:v>
      </x:c>
      <x:c r="E19" s="63" t="str">
        <x:v>200 archetypes, not validated clustering outcome</x:v>
      </x:c>
      <x:c r="F19" s="63" t="str">
        <x:v>HC + SMEs</x:v>
      </x:c>
      <x:c r="G19" s="63" t="str">
        <x:v>Task-similarity, regional authority, versioned review</x:v>
      </x:c>
      <x:c r="H19" s="63" t="str">
        <x:v>UNVALIDATED</x:v>
      </x:c>
      <x:c r="I19" s="63" t="str">
        <x:v>Adoption resource effort</x:v>
      </x:c>
    </x:row>
    <x:row r="20" ht="65" customHeight="1">
      <x:c r="A20" s="63" t="str">
        <x:v>E19</x:v>
      </x:c>
      <x:c r="B20" s="63" t="str">
        <x:v>Title screening / 1,800</x:v>
      </x:c>
      <x:c r="C20" s="63" t="str">
        <x:v>Adoption Workings!B2</x:v>
      </x:c>
      <x:c r="D20" s="63" t="str">
        <x:v>BRIEF + SYNTHETIC SCOPE</x:v>
      </x:c>
      <x:c r="E20" s="63" t="str">
        <x:v>1,800+ messy titles from brief; 1,800 used as floor</x:v>
      </x:c>
      <x:c r="F20" s="63" t="str">
        <x:v>HRIS + HC</x:v>
      </x:c>
      <x:c r="G20" s="63" t="str">
        <x:v>Actual title inventory, duplicates, task deltas</x:v>
      </x:c>
      <x:c r="H20" s="63" t="str">
        <x:v>PARTIAL BRIEF</x:v>
      </x:c>
      <x:c r="I20" s="63" t="str">
        <x:v>Scope could rise</x:v>
      </x:c>
    </x:row>
    <x:row r="21" ht="65" customHeight="1">
      <x:c r="A21" s="63" t="str">
        <x:v>E20</x:v>
      </x:c>
      <x:c r="B21" s="63" t="str">
        <x:v>Voluntary assessment sample / 500</x:v>
      </x:c>
      <x:c r="C21" s="63" t="str">
        <x:v>Adoption Workings!B9</x:v>
      </x:c>
      <x:c r="D21" s="63" t="str">
        <x:v>SYNTHETIC</x:v>
      </x:c>
      <x:c r="E21" s="63" t="str">
        <x:v>Pilot screening size; opt-in</x:v>
      </x:c>
      <x:c r="F21" s="63" t="str">
        <x:v>Union + HC</x:v>
      </x:c>
      <x:c r="G21" s="63" t="str">
        <x:v>Consent, nonparticipation safeguard, calibration</x:v>
      </x:c>
      <x:c r="H21" s="63" t="str">
        <x:v>UNVALIDATED</x:v>
      </x:c>
      <x:c r="I21" s="63" t="str">
        <x:v>No enterprise mass assessment claimed</x:v>
      </x:c>
    </x:row>
    <x:row r="22" ht="65" customHeight="1">
      <x:c r="A22" s="63" t="str">
        <x:v>E21</x:v>
      </x:c>
      <x:c r="B22" s="63" t="str">
        <x:v>Identity reconciliation / 520 days × Rp1m</x:v>
      </x:c>
      <x:c r="C22" s="63" t="str">
        <x:v>Adoption Workings!B8:F8</x:v>
      </x:c>
      <x:c r="D22" s="63" t="str">
        <x:v>SYNTHETIC</x:v>
      </x:c>
      <x:c r="E22" s="63" t="str">
        <x:v>Chosen consistent labour basis; Client mix unknown</x:v>
      </x:c>
      <x:c r="F22" s="63" t="str">
        <x:v>HRIS + stewardship lead</x:v>
      </x:c>
      <x:c r="G22" s="63" t="str">
        <x:v>Sample match error rate and time-motion</x:v>
      </x:c>
      <x:c r="H22" s="63" t="str">
        <x:v>UNVALIDATED</x:v>
      </x:c>
      <x:c r="I22" s="63" t="str">
        <x:v>Resource valuation, possible in-kind</x:v>
      </x:c>
    </x:row>
    <x:row r="23" ht="65" customHeight="1">
      <x:c r="A23" s="63" t="str">
        <x:v>E22</x:v>
      </x:c>
      <x:c r="B23" s="63" t="str">
        <x:v>Illustrative layoff / rehire inputs</x:v>
      </x:c>
      <x:c r="C23" s="63" t="str">
        <x:v>Assumptions!B23:B27</x:v>
      </x:c>
      <x:c r="D23" s="63" t="str">
        <x:v>FICTIONAL POLICY STRESS</x:v>
      </x:c>
      <x:c r="E23" s="63" t="str">
        <x:v>500/20/200/10/0; count people NOT work equivalents</x:v>
      </x:c>
      <x:c r="F23" s="63" t="str">
        <x:v>Legal + HC + Finance</x:v>
      </x:c>
      <x:c r="G23" s="63" t="str">
        <x:v>Actual lawful alternatives/CBA/hiring costs; not for action</x:v>
      </x:c>
      <x:c r="H23" s="63" t="str">
        <x:v>FICTIONAL ONLY</x:v>
      </x:c>
      <x:c r="I23" s="63" t="str">
        <x:v>Not a lawful recommendation or ROI</x:v>
      </x:c>
    </x:row>
    <x:row r="24" ht="65" customHeight="1">
      <x:c r="A24" s="63" t="str">
        <x:v>E23</x:v>
      </x:c>
      <x:c r="B24" s="63" t="str">
        <x:v>Non-modelled licenses/travel/mobility/training</x:v>
      </x:c>
      <x:c r="C24" s="63" t="str">
        <x:v>Cost Ownership!A12:D17</x:v>
      </x:c>
      <x:c r="D24" s="63" t="str">
        <x:v>UNPRICED</x:v>
      </x:c>
      <x:c r="E24" s="63" t="str">
        <x:v>Excluded from Rp6B cash denominator</x:v>
      </x:c>
      <x:c r="F24" s="63" t="str">
        <x:v>Finance + IT + HC</x:v>
      </x:c>
      <x:c r="G24" s="63" t="str">
        <x:v>Vendor quote, implementation WBS, mobility packages</x:v>
      </x:c>
      <x:c r="H24" s="63" t="str">
        <x:v>UNPRICED</x:v>
      </x:c>
      <x:c r="I24" s="63" t="str">
        <x:v>Total cost of ownership not complete</x:v>
      </x:c>
    </x:row>
    <x:row r="25" ht="65" customHeight="1">
      <x:c r="A25" s="63" t="str">
        <x:v>E24</x:v>
      </x:c>
      <x:c r="B25" s="63" t="str">
        <x:v>Title-to-role mapping</x:v>
      </x:c>
      <x:c r="C25" s="63" t="str">
        <x:v>Identity and Change!A4</x:v>
      </x:c>
      <x:c r="D25" s="63" t="str">
        <x:v>ILLUSTRATIVE</x:v>
      </x:c>
      <x:c r="E25" s="63" t="str">
        <x:v>Engineer Madya / Senior Technician II example</x:v>
      </x:c>
      <x:c r="F25" s="63" t="str">
        <x:v>HR SMEs</x:v>
      </x:c>
      <x:c r="G25" s="63" t="str">
        <x:v>Audit task authority per location; contractual title retained</x:v>
      </x:c>
      <x:c r="H25" s="63" t="str">
        <x:v>PROPOSED</x:v>
      </x:c>
      <x:c r="I25" s="63" t="str">
        <x:v>Cannot assert 200 actual canonical roles</x:v>
      </x:c>
    </x:row>
    <x:row r="26" ht="65" customHeight="1">
      <x:c r="A26" s="63" t="str">
        <x:v>E25</x:v>
      </x:c>
      <x:c r="B26" s="63" t="str">
        <x:v>Backed demand decision gate</x:v>
      </x:c>
      <x:c r="C26" s="63" t="str">
        <x:v>Decision Gates!A4:G7</x:v>
      </x:c>
      <x:c r="D26" s="63" t="str">
        <x:v>DESIGNED CONTROL</x:v>
      </x:c>
      <x:c r="E26" s="63" t="str">
        <x:v>Two independent sources, budget &amp; owner signoff</x:v>
      </x:c>
      <x:c r="F26" s="63" t="str">
        <x:v>Ops + Finance + Union forum</x:v>
      </x:c>
      <x:c r="G26" s="63" t="str">
        <x:v>Evidence for each destination task and safety</x:v>
      </x:c>
      <x:c r="H26" s="63" t="str">
        <x:v>NOT YET TESTED</x:v>
      </x:c>
      <x:c r="I26" s="63" t="str">
        <x:v>No scaled matching without demand</x:v>
      </x:c>
    </x:row>
    <x:row r="27" ht="65" customHeight="1">
      <x:c r="A27" s="63" t="str">
        <x:v>E26</x:v>
      </x:c>
      <x:c r="B27" s="63" t="str">
        <x:v>Avoided recruiting/overtime placeholder</x:v>
      </x:c>
      <x:c r="C27" s="63" t="str">
        <x:v>Assumptions!B19:B20</x:v>
      </x:c>
      <x:c r="D27" s="63" t="str">
        <x:v>NOT MODELLED</x:v>
      </x:c>
      <x:c r="E27" s="63" t="str">
        <x:v>Current 0 means no quantified benefit, NOT zero actual value</x:v>
      </x:c>
      <x:c r="F27" s="63" t="str">
        <x:v>Finance + HC + Operations</x:v>
      </x:c>
      <x:c r="G27" s="63" t="str">
        <x:v>Signed baseline recruitment and overtime ledger</x:v>
      </x:c>
      <x:c r="H27" s="63" t="str">
        <x:v>UNPRICED</x:v>
      </x:c>
      <x:c r="I27" s="63" t="str">
        <x:v>Cash ROI limited to modelled categories</x:v>
      </x:c>
    </x:row>
    <x:row r="28" ht="65" customHeight="1">
      <x:c r="A28" s="63" t="str">
        <x:v>E27</x:v>
      </x:c>
      <x:c r="B28" s="63" t="str">
        <x:v>Gate opportunity cost / Rp600m</x:v>
      </x:c>
      <x:c r="C28" s="63" t="str">
        <x:v>Assumptions!B21</x:v>
      </x:c>
      <x:c r="D28" s="63" t="str">
        <x:v>SYNTHETIC NONCASH</x:v>
      </x:c>
      <x:c r="E28" s="63" t="str">
        <x:v>Illustrative opportunity only; excluded from programme cash ROI</x:v>
      </x:c>
      <x:c r="F28" s="63" t="str">
        <x:v>Board + Technology</x:v>
      </x:c>
      <x:c r="G28" s="63" t="str">
        <x:v>Verifiable outage, rollout deferral and service-value estimate</x:v>
      </x:c>
      <x:c r="H28" s="63" t="str">
        <x:v>UNVALIDATED</x:v>
      </x:c>
      <x:c r="I28" s="63" t="str">
        <x:v>Do not double-count delayed technology benefit</x:v>
      </x:c>
    </x:row>
    <x:row r="29" ht="65" customHeight="1">
      <x:c r="A29" s="63" t="str">
        <x:v>E28</x:v>
      </x:c>
      <x:c r="B29" s="63" t="str">
        <x:v>Vendor capture volume factor / 100%</x:v>
      </x:c>
      <x:c r="C29" s="63" t="str">
        <x:v>Assumptions!B29</x:v>
      </x:c>
      <x:c r="D29" s="63" t="str">
        <x:v>SYNTHETIC UPSIDE</x:v>
      </x:c>
      <x:c r="E29" s="63" t="str">
        <x:v>Fraction of matched vendor FTE-months truly billed and avoidable</x:v>
      </x:c>
      <x:c r="F29" s="63" t="str">
        <x:v>Procurement + Finance</x:v>
      </x:c>
      <x:c r="G29" s="63" t="str">
        <x:v>Net cancellable contracts × time match; no vendor evidence in brief</x:v>
      </x:c>
      <x:c r="H29" s="63" t="str">
        <x:v>UNVALIDATED</x:v>
      </x:c>
      <x:c r="I29" s="63" t="str">
        <x:v>Full-capture +290% is not forecast</x:v>
      </x:c>
    </x:row>
  </x:sheetData>
  <x:conditionalFormatting sqref="H2:H26">
    <x:cfRule type="expression" dxfId="4" priority="1">
      <x:formula>$H2="UNVALIDATED"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5" hidden="0" customWidth="1"/>
    <x:col min="2" max="2" width="20" hidden="0" customWidth="1"/>
    <x:col min="3" max="3" width="20" hidden="0" customWidth="1"/>
    <x:col min="4" max="4" width="20" hidden="0" customWidth="1"/>
    <x:col min="5" max="5" width="23" hidden="0" customWidth="1"/>
    <x:col min="6" max="6" width="73" hidden="0" customWidth="1"/>
    <x:col min="7" max="7" width="74" hidden="0" customWidth="1"/>
    <x:col min="8" max="8" width="78" hidden="0" customWidth="1"/>
  </x:cols>
  <x:sheetData>
    <x:row r="1" ht="35" customHeight="1">
      <x:c r="A1" s="98" t="str">
        <x:v>COST OWNER BRIDGE | cash v resource effort | Rp million</x:v>
      </x:c>
      <x:c r="B1" s="98"/>
      <x:c r="C1" s="98"/>
      <x:c r="D1" s="98"/>
      <x:c r="E1" s="98"/>
      <x:c r="F1" s="98"/>
      <x:c r="G1" s="98"/>
      <x:c r="H1" s="98"/>
    </x:row>
    <x:row r="2" ht="26" customHeight="1">
      <x:c r="A2" t="str">
        <x:v>No inferred overlap. Separate model cash envelope from resource effort and unpriced actual scope. Entries are not procurement approvals.</x:v>
      </x:c>
      <x:c r="B2"/>
      <x:c r="C2"/>
      <x:c r="D2"/>
      <x:c r="E2"/>
      <x:c r="F2"/>
      <x:c r="G2"/>
      <x:c r="H2"/>
    </x:row>
    <x:row r="3" ht="29" customHeight="1">
      <x:c r="A3" s="66" t="str">
        <x:v>WORK PACKAGE</x:v>
      </x:c>
      <x:c r="B3" s="66" t="str">
        <x:v>Y1 CASH Rp m</x:v>
      </x:c>
      <x:c r="C3" s="66" t="str">
        <x:v>Y2 CASH Rp m</x:v>
      </x:c>
      <x:c r="D3" s="66" t="str">
        <x:v>Y3 CASH Rp m</x:v>
      </x:c>
      <x:c r="E3" s="66" t="str">
        <x:v>TOTAL CASH Rp m</x:v>
      </x:c>
      <x:c r="F3" s="66" t="str">
        <x:v>OWNERSHIP / EVIDENCE</x:v>
      </x:c>
      <x:c r="G3" s="66" t="str">
        <x:v>POTENTIAL OVERLAP</x:v>
      </x:c>
      <x:c r="H3" s="66" t="str">
        <x:v>FINANCE VALIDATION</x:v>
      </x:c>
    </x:row>
    <x:row r="4">
      <x:c r="A4" t="str">
        <x:v>Rakamin engagement fee</x:v>
      </x:c>
      <x:c r="B4" s="91" t="n">
        <x:f>'Assumptions'!B9</x:f>
        <x:v>3500</x:v>
      </x:c>
      <x:c r="C4" s="91" t="n">
        <x:v>0</x:v>
      </x:c>
      <x:c r="D4" s="91" t="n">
        <x:v>0</x:v>
      </x:c>
      <x:c r="E4" s="91" t="n">
        <x:f>SUM(B4:D4)</x:f>
        <x:v>3500</x:v>
      </x:c>
      <x:c r="F4" t="str">
        <x:v>Brief 12-month engagement</x:v>
      </x:c>
      <x:c r="G4" t="str">
        <x:v>Potentially includes analyst / SME coordination</x:v>
      </x:c>
      <x:c r="H4" t="str">
        <x:v>Contract scope / invoice deliverable</x:v>
      </x:c>
    </x:row>
    <x:row r="5">
      <x:c r="A5" t="str">
        <x:v>Implementation allowance</x:v>
      </x:c>
      <x:c r="B5" s="91" t="n">
        <x:f>'Assumptions'!B10</x:f>
        <x:v>1500</x:v>
      </x:c>
      <x:c r="C5" s="91" t="n">
        <x:v>0</x:v>
      </x:c>
      <x:c r="D5" s="91" t="n">
        <x:v>0</x:v>
      </x:c>
      <x:c r="E5" s="91" t="n">
        <x:f>SUM(B5:D5)</x:f>
        <x:v>1500</x:v>
      </x:c>
      <x:c r="F5" t="str">
        <x:v>Synthetic delivery costs</x:v>
      </x:c>
      <x:c r="G5" t="str">
        <x:v>Potential overlap with integration &amp; assessments</x:v>
      </x:c>
      <x:c r="H5" t="str">
        <x:v>Procurement WBS and vendor budgets</x:v>
      </x:c>
    </x:row>
    <x:row r="6">
      <x:c r="A6" t="str">
        <x:v>Support year 2</x:v>
      </x:c>
      <x:c r="B6" s="91" t="n">
        <x:v>0</x:v>
      </x:c>
      <x:c r="C6" s="91" t="n">
        <x:f>'Assumptions'!B11</x:f>
        <x:v>500</x:v>
      </x:c>
      <x:c r="D6" s="91" t="n">
        <x:v>0</x:v>
      </x:c>
      <x:c r="E6" s="91" t="n">
        <x:f>SUM(B6:D6)</x:f>
        <x:v>500</x:v>
      </x:c>
      <x:c r="F6" t="str">
        <x:v>Synthetic operational support</x:v>
      </x:c>
      <x:c r="G6" t="str">
        <x:v>Could include framework administration</x:v>
      </x:c>
      <x:c r="H6" t="str">
        <x:v>Finance support budget</x:v>
      </x:c>
    </x:row>
    <x:row r="7">
      <x:c r="A7" t="str">
        <x:v>Support year 3</x:v>
      </x:c>
      <x:c r="B7" s="91" t="n">
        <x:v>0</x:v>
      </x:c>
      <x:c r="C7" s="91" t="n">
        <x:v>0</x:v>
      </x:c>
      <x:c r="D7" s="91" t="n">
        <x:f>'Assumptions'!B12</x:f>
        <x:v>500</x:v>
      </x:c>
      <x:c r="E7" s="91" t="n">
        <x:f>SUM(B7:D7)</x:f>
        <x:v>500</x:v>
      </x:c>
      <x:c r="F7" t="str">
        <x:v>Synthetic operational support</x:v>
      </x:c>
      <x:c r="G7" t="str">
        <x:v>Could include framework administration</x:v>
      </x:c>
      <x:c r="H7" t="str">
        <x:v>Finance support budget</x:v>
      </x:c>
    </x:row>
    <x:row r="8" ht="24" customHeight="1">
      <x:c r="A8" s="76" t="str">
        <x:v>TOTAL ENVELOPE</x:v>
      </x:c>
      <x:c r="B8" s="96" t="n">
        <x:f>SUM(B4:B7)</x:f>
        <x:v>5000</x:v>
      </x:c>
      <x:c r="C8" s="96" t="n">
        <x:f>SUM(C4:C7)</x:f>
        <x:v>500</x:v>
      </x:c>
      <x:c r="D8" s="96" t="n">
        <x:f>SUM(D4:D7)</x:f>
        <x:v>500</x:v>
      </x:c>
      <x:c r="E8" s="96" t="n">
        <x:f>SUM(E4:E7)</x:f>
        <x:v>6000</x:v>
      </x:c>
      <x:c r="F8" s="76" t="str">
        <x:v>Scenario cash, not signed TCO</x:v>
      </x:c>
      <x:c r="G8" s="76" t="str">
        <x:v>Do not add adoption automatically</x:v>
      </x:c>
      <x:c r="H8" s="76" t="str">
        <x:v>Verify what fee covers</x:v>
      </x:c>
    </x:row>
    <x:row r="9">
      <x:c r="A9" t="str">
        <x:v>Hybrid capability architecture effort</x:v>
      </x:c>
      <x:c r="B9" s="91"/>
      <x:c r="C9" s="91"/>
      <x:c r="D9" s="91"/>
      <x:c r="E9" s="91" t="n">
        <x:f>'Adoption Workings'!I13</x:f>
        <x:v>3787.5</x:v>
      </x:c>
      <x:c r="F9" t="str">
        <x:v>Estimated effort / labour valuation</x:v>
      </x:c>
      <x:c r="G9" t="str">
        <x:v>Contains internal HC/SME and potentially contracted delivery</x:v>
      </x:c>
      <x:c r="H9" t="str">
        <x:v>Split by Client in-kind / incremental cash / existing fee</x:v>
      </x:c>
    </x:row>
    <x:row r="10">
      <x:c r="A10" t="str">
        <x:v>Uncovered share of effort (%)</x:v>
      </x:c>
      <x:c r="B10" s="91"/>
      <x:c r="C10" s="91"/>
      <x:c r="D10" s="91"/>
      <x:c r="E10" s="91" t="n">
        <x:f>'Investment Bridge'!B13</x:f>
        <x:v>0.5</x:v>
      </x:c>
      <x:c r="F10" t="str">
        <x:v>Illustrative stress parameter</x:v>
      </x:c>
      <x:c r="G10" t="str">
        <x:v>Not verified and NOT automatically cash</x:v>
      </x:c>
      <x:c r="H10" t="str">
        <x:v>Review with HC cost owners</x:v>
      </x:c>
    </x:row>
    <x:row r="11">
      <x:c r="A11" t="str">
        <x:v>Uncovered effort resource valuation</x:v>
      </x:c>
      <x:c r="B11" s="91"/>
      <x:c r="C11" s="91"/>
      <x:c r="D11" s="91"/>
      <x:c r="E11" s="91" t="n">
        <x:f>E9*E10</x:f>
        <x:v>1893.75</x:v>
      </x:c>
      <x:c r="F11" t="str">
        <x:v>Not a payable invoice</x:v>
      </x:c>
      <x:c r="G11" t="str">
        <x:v>Cash conversion fraction unknown</x:v>
      </x:c>
      <x:c r="H11" t="str">
        <x:v>Validate incremental spend</x:v>
      </x:c>
    </x:row>
    <x:row r="12">
      <x:c r="A12" t="str">
        <x:v>Software / licence fees</x:v>
      </x:c>
      <x:c r="B12"/>
      <x:c r="C12"/>
      <x:c r="D12"/>
      <x:c r="E12"/>
      <x:c r="F12" t="str">
        <x:v>UNPRICED</x:v>
      </x:c>
      <x:c r="G12" t="str">
        <x:v>Possible SFIA/HR systems commercial terms</x:v>
      </x:c>
      <x:c r="H12" t="str">
        <x:v>Licence decision &amp; vendor quote</x:v>
      </x:c>
    </x:row>
    <x:row r="13">
      <x:c r="A13" t="str">
        <x:v>Travel &amp; site deployment</x:v>
      </x:c>
      <x:c r="B13"/>
      <x:c r="C13"/>
      <x:c r="D13"/>
      <x:c r="E13"/>
      <x:c r="F13" t="str">
        <x:v>UNPRICED</x:v>
      </x:c>
      <x:c r="G13" t="str">
        <x:v>Regional/site work</x:v>
      </x:c>
      <x:c r="H13" t="str">
        <x:v>Travel schedule and approval</x:v>
      </x:c>
    </x:row>
    <x:row r="14">
      <x:c r="A14" t="str">
        <x:v>Training delivery (beyond pilot)</x:v>
      </x:c>
      <x:c r="B14"/>
      <x:c r="C14"/>
      <x:c r="D14"/>
      <x:c r="E14"/>
      <x:c r="F14" t="str">
        <x:v>UNPRICED</x:v>
      </x:c>
      <x:c r="G14" t="str">
        <x:v>Mass roll-out not modelled</x:v>
      </x:c>
      <x:c r="H14" t="str">
        <x:v>Learning programme budget</x:v>
      </x:c>
    </x:row>
    <x:row r="15">
      <x:c r="A15" t="str">
        <x:v>Mobility and relocation</x:v>
      </x:c>
      <x:c r="B15"/>
      <x:c r="C15"/>
      <x:c r="D15"/>
      <x:c r="E15"/>
      <x:c r="F15" t="str">
        <x:v>UNPRICED</x:v>
      </x:c>
      <x:c r="G15" t="str">
        <x:v>Union agreement and location constraints</x:v>
      </x:c>
      <x:c r="H15" t="str">
        <x:v>Worker consent and mobility support</x:v>
      </x:c>
    </x:row>
    <x:row r="16">
      <x:c r="A16" t="str">
        <x:v>Client internal time / backfill</x:v>
      </x:c>
      <x:c r="B16"/>
      <x:c r="C16"/>
      <x:c r="D16"/>
      <x:c r="E16"/>
      <x:c r="F16" t="str">
        <x:v>UNPRICED / POSSIBLE IN-KIND</x:v>
      </x:c>
      <x:c r="G16" t="str">
        <x:v>Not necessarily incremental cash</x:v>
      </x:c>
      <x:c r="H16" t="str">
        <x:v>Roster + opportunity cost</x:v>
      </x:c>
    </x:row>
    <x:row r="17">
      <x:c r="A17" t="str">
        <x:v>Unmodelled risk / operations costs</x:v>
      </x:c>
      <x:c r="B17"/>
      <x:c r="C17"/>
      <x:c r="D17"/>
      <x:c r="E17"/>
      <x:c r="F17" t="str">
        <x:v>UNPRICED</x:v>
      </x:c>
      <x:c r="G17" t="str">
        <x:v>No proxy wage inflation or disruption estimate</x:v>
      </x:c>
      <x:c r="H17" t="str">
        <x:v>Ops and Risk risk register</x:v>
      </x:c>
    </x:row>
    <x:row r="19" ht="24" customHeight="1">
      <x:c r="A19" s="76" t="str">
        <x:v>BOARD COST VIEW</x:v>
      </x:c>
      <x:c r="B19" s="76" t="str">
        <x:v>VALUE Rp m</x:v>
      </x:c>
      <x:c r="C19" s="76" t="str">
        <x:v>TYPE</x:v>
      </x:c>
      <x:c r="D19" s="76" t="str">
        <x:v>INTERPRETATION</x:v>
      </x:c>
      <x:c r="E19" s="76"/>
      <x:c r="F19" s="76"/>
      <x:c r="G19" s="76"/>
      <x:c r="H19" s="76"/>
    </x:row>
    <x:row r="20">
      <x:c r="A20" t="str">
        <x:v>Scenario denominator</x:v>
      </x:c>
      <x:c r="B20" t="n">
        <x:f>E8</x:f>
        <x:v>6000</x:v>
      </x:c>
      <x:c r="C20" t="str">
        <x:v>Model cash</x:v>
      </x:c>
      <x:c r="D20" t="str">
        <x:v>Contract fee plus synthetic delivery/support, not full TCO</x:v>
      </x:c>
      <x:c r="E20"/>
      <x:c r="F20"/>
      <x:c r="G20"/>
      <x:c r="H20"/>
    </x:row>
    <x:row r="21">
      <x:c r="A21" t="str">
        <x:v>Additional resource stress</x:v>
      </x:c>
      <x:c r="B21" t="n">
        <x:f>E11</x:f>
        <x:v>1893.75</x:v>
      </x:c>
      <x:c r="C21" t="str">
        <x:v>Scenario resource valuation</x:v>
      </x:c>
      <x:c r="D21" t="str">
        <x:v>Not additional cash absent resource-by-resource proof</x:v>
      </x:c>
      <x:c r="E21"/>
      <x:c r="F21"/>
      <x:c r="G21"/>
      <x:c r="H21"/>
    </x:row>
    <x:row r="22">
      <x:c r="A22" t="str">
        <x:v>Max all incremental CASH (extreme stress)</x:v>
      </x:c>
      <x:c r="B22" t="n">
        <x:f>E8+E9</x:f>
        <x:v>9787.5</x:v>
      </x:c>
      <x:c r="C22" t="str">
        <x:v>Upper-bound illustration</x:v>
      </x:c>
      <x:c r="D22" t="str">
        <x:v>Only if every resource unit is cash not already in base</x:v>
      </x:c>
      <x:c r="E22"/>
      <x:c r="F22"/>
      <x:c r="G22"/>
      <x:c r="H22"/>
    </x:row>
    <x:row r="23">
      <x:c r="A23" t="str">
        <x:v>Unpriced costs</x:v>
      </x:c>
      <x:c r="B23"/>
      <x:c r="C23" t="str">
        <x:v>Unknown</x:v>
      </x:c>
      <x:c r="D23" t="str">
        <x:v>Do not treat unpriced lines as zero</x:v>
      </x:c>
      <x:c r="E23"/>
      <x:c r="F23"/>
      <x:c r="G23"/>
      <x:c r="H2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4" hidden="0" customWidth="1"/>
    <x:col min="13" max="13" width="17" hidden="0" customWidth="1"/>
  </x:cols>
  <x:sheetData>
    <x:row r="1" ht="35" customHeight="1">
      <x:c r="A1" s="98" t="str">
        <x:v>FROZEN REFERENCE | original pre-stabilization 36M synthetic series; NOT case observations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26" customHeight="1">
      <x:c r="A2" t="str">
        <x:v>Reference used only for regression, not as a live formula input. All computed scenario numbers come from Assumptions → Ramp Drivers → 36M Workforce.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 ht="29" customHeight="1">
      <x:c r="A3" s="66" t="str">
        <x:v>MONTH</x:v>
      </x:c>
      <x:c r="B3" s="66" t="str">
        <x:v>BASE DISPLACED</x:v>
      </x:c>
      <x:c r="C3" s="66" t="str">
        <x:v>BASE GATED</x:v>
      </x:c>
      <x:c r="D3" s="66" t="str">
        <x:v>BASE ATTRITION</x:v>
      </x:c>
      <x:c r="E3" s="66" t="str">
        <x:v>BASE NONVENDOR MATCH</x:v>
      </x:c>
      <x:c r="F3" s="66" t="str">
        <x:v>BASE VENDOR MATCH</x:v>
      </x:c>
      <x:c r="G3" s="66" t="str">
        <x:v>BASE NG GAP</x:v>
      </x:c>
      <x:c r="H3" s="66" t="str">
        <x:v>BASE GATED GAP</x:v>
      </x:c>
      <x:c r="I3" s="66" t="str">
        <x:v>BASE WAIT EXTRA</x:v>
      </x:c>
      <x:c r="J3" s="66" t="str">
        <x:v>BASE CASH Rp m</x:v>
      </x:c>
      <x:c r="K3" s="66" t="str">
        <x:v>BASELINE/SCENARIO</x:v>
      </x:c>
      <x:c r="L3" s="66" t="str">
        <x:v>MAX ABS DIFFERENCE</x:v>
      </x:c>
      <x:c r="M3" s="66" t="str">
        <x:v>STATUS</x:v>
      </x:c>
    </x:row>
    <x:row r="4">
      <x:c r="A4" t="n">
        <x:v>0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4" t="n">
        <x:f>MAX(ABS(B4-'36M Workforce'!B5),ABS(C4-'36M Workforce'!C5),ABS(D4-'36M Workforce'!D5),ABS(E4-'36M Workforce'!E5),ABS(F4-'36M Workforce'!F5),ABS(G4-'36M Workforce'!G5),ABS(H4-'36M Workforce'!H5),ABS(I4-'36M Workforce'!P5),ABS(J4-'36M Workforce'!S5))</x:f>
        <x:v>0</x:v>
      </x:c>
      <x:c r="M4" t="str">
        <x:f>IF(K4="CHANGED SCENARIO","SCENARIO",IF(L4&lt;0.000001,"PASS","FAIL"))</x:f>
        <x:v>PASS</x:v>
      </x:c>
    </x:row>
    <x:row r="5">
      <x:c r="A5" t="n">
        <x:v>1</x:v>
      </x:c>
      <x:c r="B5" t="n">
        <x:v>16.858333333333334</x:v>
      </x:c>
      <x:c r="C5" t="n">
        <x:v>0</x:v>
      </x:c>
      <x:c r="D5" t="n">
        <x:v>12.5</x:v>
      </x:c>
      <x:c r="E5" t="n">
        <x:v>0</x:v>
      </x:c>
      <x:c r="F5" t="n">
        <x:v>0</x:v>
      </x:c>
      <x:c r="G5" t="n">
        <x:v>4.358333333333334</x:v>
      </x:c>
      <x:c r="H5" t="n">
        <x:v>0</x:v>
      </x:c>
      <x:c r="I5" t="n">
        <x:v>0</x:v>
      </x:c>
      <x:c r="J5" t="n">
        <x:v>0</x:v>
      </x:c>
      <x:c r="K5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5" t="n">
        <x:f>MAX(ABS(B5-'36M Workforce'!B6),ABS(C5-'36M Workforce'!C6),ABS(D5-'36M Workforce'!D6),ABS(E5-'36M Workforce'!E6),ABS(F5-'36M Workforce'!F6),ABS(G5-'36M Workforce'!G6),ABS(H5-'36M Workforce'!H6),ABS(I5-'36M Workforce'!P6),ABS(J5-'36M Workforce'!S6))</x:f>
        <x:v>0</x:v>
      </x:c>
      <x:c r="M5" t="str">
        <x:f>IF(K5="CHANGED SCENARIO","SCENARIO",IF(L5&lt;0.000001,"PASS","FAIL"))</x:f>
        <x:v>PASS</x:v>
      </x:c>
    </x:row>
    <x:row r="6">
      <x:c r="A6" t="n">
        <x:v>2</x:v>
      </x:c>
      <x:c r="B6" t="n">
        <x:v>77.51527777777777</x:v>
      </x:c>
      <x:c r="C6" t="n">
        <x:v>0</x:v>
      </x:c>
      <x:c r="D6" t="n">
        <x:v>25</x:v>
      </x:c>
      <x:c r="E6" t="n">
        <x:v>0</x:v>
      </x:c>
      <x:c r="F6" t="n">
        <x:v>0</x:v>
      </x:c>
      <x:c r="G6" t="n">
        <x:v>52.51527777777777</x:v>
      </x:c>
      <x:c r="H6" t="n">
        <x:v>0</x:v>
      </x:c>
      <x:c r="I6" t="n">
        <x:v>0</x:v>
      </x:c>
      <x:c r="J6" t="n">
        <x:v>0</x:v>
      </x:c>
      <x:c r="K6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6" t="n">
        <x:f>MAX(ABS(B6-'36M Workforce'!B7),ABS(C6-'36M Workforce'!C7),ABS(D6-'36M Workforce'!D7),ABS(E6-'36M Workforce'!E7),ABS(F6-'36M Workforce'!F7),ABS(G6-'36M Workforce'!G7),ABS(H6-'36M Workforce'!H7),ABS(I6-'36M Workforce'!P7),ABS(J6-'36M Workforce'!S7))</x:f>
        <x:v>0</x:v>
      </x:c>
      <x:c r="M6" t="str">
        <x:f>IF(K6="CHANGED SCENARIO","SCENARIO",IF(L6&lt;0.000001,"PASS","FAIL"))</x:f>
        <x:v>PASS</x:v>
      </x:c>
    </x:row>
    <x:row r="7">
      <x:c r="A7" t="n">
        <x:v>3</x:v>
      </x:c>
      <x:c r="B7" t="n">
        <x:v>199.4076388888889</x:v>
      </x:c>
      <x:c r="C7" t="n">
        <x:v>0</x:v>
      </x:c>
      <x:c r="D7" t="n">
        <x:v>37.5</x:v>
      </x:c>
      <x:c r="E7" t="n">
        <x:v>0</x:v>
      </x:c>
      <x:c r="F7" t="n">
        <x:v>0</x:v>
      </x:c>
      <x:c r="G7" t="n">
        <x:v>161.9076388888889</x:v>
      </x:c>
      <x:c r="H7" t="n">
        <x:v>0</x:v>
      </x:c>
      <x:c r="I7" t="n">
        <x:v>0</x:v>
      </x:c>
      <x:c r="J7" t="n">
        <x:v>0</x:v>
      </x:c>
      <x:c r="K7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7" t="n">
        <x:f>MAX(ABS(B7-'36M Workforce'!B8),ABS(C7-'36M Workforce'!C8),ABS(D7-'36M Workforce'!D8),ABS(E7-'36M Workforce'!E8),ABS(F7-'36M Workforce'!F8),ABS(G7-'36M Workforce'!G8),ABS(H7-'36M Workforce'!H8),ABS(I7-'36M Workforce'!P8),ABS(J7-'36M Workforce'!S8))</x:f>
        <x:v>0</x:v>
      </x:c>
      <x:c r="M7" t="str">
        <x:f>IF(K7="CHANGED SCENARIO","SCENARIO",IF(L7&lt;0.000001,"PASS","FAIL"))</x:f>
        <x:v>PASS</x:v>
      </x:c>
    </x:row>
    <x:row r="8">
      <x:c r="A8" t="n">
        <x:v>4</x:v>
      </x:c>
      <x:c r="B8" t="n">
        <x:v>391.8322916666666</x:v>
      </x:c>
      <x:c r="C8" t="n">
        <x:v>16.858333333333334</x:v>
      </x:c>
      <x:c r="D8" t="n">
        <x:v>50</x:v>
      </x:c>
      <x:c r="E8" t="n">
        <x:v>0</x:v>
      </x:c>
      <x:c r="F8" t="n">
        <x:v>0</x:v>
      </x:c>
      <x:c r="G8" t="n">
        <x:v>341.8322916666666</x:v>
      </x:c>
      <x:c r="H8" t="n">
        <x:v>0</x:v>
      </x:c>
      <x:c r="I8" t="n">
        <x:v>0</x:v>
      </x:c>
      <x:c r="J8" t="n">
        <x:v>0</x:v>
      </x:c>
      <x:c r="K8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8" t="n">
        <x:f>MAX(ABS(B8-'36M Workforce'!B9),ABS(C8-'36M Workforce'!C9),ABS(D8-'36M Workforce'!D9),ABS(E8-'36M Workforce'!E9),ABS(F8-'36M Workforce'!F9),ABS(G8-'36M Workforce'!G9),ABS(H8-'36M Workforce'!H9),ABS(I8-'36M Workforce'!P9),ABS(J8-'36M Workforce'!S9))</x:f>
        <x:v>0</x:v>
      </x:c>
      <x:c r="M8" t="str">
        <x:f>IF(K8="CHANGED SCENARIO","SCENARIO",IF(L8&lt;0.000001,"PASS","FAIL"))</x:f>
        <x:v>PASS</x:v>
      </x:c>
    </x:row>
    <x:row r="9">
      <x:c r="A9" t="n">
        <x:v>5</x:v>
      </x:c>
      <x:c r="B9" t="n">
        <x:v>656.6072916666667</x:v>
      </x:c>
      <x:c r="C9" t="n">
        <x:v>77.51527777777777</x:v>
      </x:c>
      <x:c r="D9" t="n">
        <x:v>62.5</x:v>
      </x:c>
      <x:c r="E9" t="n">
        <x:v>28.599999999999998</x:v>
      </x:c>
      <x:c r="F9" t="n">
        <x:v>10.4</x:v>
      </x:c>
      <x:c r="G9" t="n">
        <x:v>555.1072916666667</x:v>
      </x:c>
      <x:c r="H9" t="n">
        <x:v>0</x:v>
      </x:c>
      <x:c r="I9" t="n">
        <x:v>39</x:v>
      </x:c>
      <x:c r="J9" t="n">
        <x:v>62.400000000000006</x:v>
      </x:c>
      <x:c r="K9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9" t="n">
        <x:f>MAX(ABS(B9-'36M Workforce'!B10),ABS(C9-'36M Workforce'!C10),ABS(D9-'36M Workforce'!D10),ABS(E9-'36M Workforce'!E10),ABS(F9-'36M Workforce'!F10),ABS(G9-'36M Workforce'!G10),ABS(H9-'36M Workforce'!H10),ABS(I9-'36M Workforce'!P10),ABS(J9-'36M Workforce'!S10))</x:f>
        <x:v>0</x:v>
      </x:c>
      <x:c r="M9" t="str">
        <x:f>IF(K9="CHANGED SCENARIO","SCENARIO",IF(L9&lt;0.000001,"PASS","FAIL"))</x:f>
        <x:v>PASS</x:v>
      </x:c>
    </x:row>
    <x:row r="10">
      <x:c r="A10" t="n">
        <x:v>6</x:v>
      </x:c>
      <x:c r="B10" t="n">
        <x:v>988.6503472222223</x:v>
      </x:c>
      <x:c r="C10" t="n">
        <x:v>199.4076388888889</x:v>
      </x:c>
      <x:c r="D10" t="n">
        <x:v>75</x:v>
      </x:c>
      <x:c r="E10" t="n">
        <x:v>57.199999999999996</x:v>
      </x:c>
      <x:c r="F10" t="n">
        <x:v>20.8</x:v>
      </x:c>
      <x:c r="G10" t="n">
        <x:v>835.6503472222223</x:v>
      </x:c>
      <x:c r="H10" t="n">
        <x:v>46.40763888888891</x:v>
      </x:c>
      <x:c r="I10" t="n">
        <x:v>78</x:v>
      </x:c>
      <x:c r="J10" t="n">
        <x:v>124.80000000000001</x:v>
      </x:c>
      <x:c r="K10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0" t="n">
        <x:f>MAX(ABS(B10-'36M Workforce'!B11),ABS(C10-'36M Workforce'!C11),ABS(D10-'36M Workforce'!D11),ABS(E10-'36M Workforce'!E11),ABS(F10-'36M Workforce'!F11),ABS(G10-'36M Workforce'!G11),ABS(H10-'36M Workforce'!H11),ABS(I10-'36M Workforce'!P11),ABS(J10-'36M Workforce'!S11))</x:f>
        <x:v>0</x:v>
      </x:c>
      <x:c r="M10" t="str">
        <x:f>IF(K10="CHANGED SCENARIO","SCENARIO",IF(L10&lt;0.000001,"PASS","FAIL"))</x:f>
        <x:v>PASS</x:v>
      </x:c>
    </x:row>
    <x:row r="11">
      <x:c r="A11" t="n">
        <x:v>7</x:v>
      </x:c>
      <x:c r="B11" t="n">
        <x:v>1371.0204861111113</x:v>
      </x:c>
      <x:c r="C11" t="n">
        <x:v>391.8322916666666</x:v>
      </x:c>
      <x:c r="D11" t="n">
        <x:v>87.5</x:v>
      </x:c>
      <x:c r="E11" t="n">
        <x:v>85.80000000000001</x:v>
      </x:c>
      <x:c r="F11" t="n">
        <x:v>31.200000000000003</x:v>
      </x:c>
      <x:c r="G11" t="n">
        <x:v>1166.5204861111113</x:v>
      </x:c>
      <x:c r="H11" t="n">
        <x:v>187.3322916666666</x:v>
      </x:c>
      <x:c r="I11" t="n">
        <x:v>117</x:v>
      </x:c>
      <x:c r="J11" t="n">
        <x:v>187.20000000000002</x:v>
      </x:c>
      <x:c r="K11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1" t="n">
        <x:f>MAX(ABS(B11-'36M Workforce'!B12),ABS(C11-'36M Workforce'!C12),ABS(D11-'36M Workforce'!D12),ABS(E11-'36M Workforce'!E12),ABS(F11-'36M Workforce'!F12),ABS(G11-'36M Workforce'!G12),ABS(H11-'36M Workforce'!H12),ABS(I11-'36M Workforce'!P12),ABS(J11-'36M Workforce'!S12))</x:f>
        <x:v>0</x:v>
      </x:c>
      <x:c r="M11" t="str">
        <x:f>IF(K11="CHANGED SCENARIO","SCENARIO",IF(L11&lt;0.000001,"PASS","FAIL"))</x:f>
        <x:v>PASS</x:v>
      </x:c>
    </x:row>
    <x:row r="12">
      <x:c r="A12" t="n">
        <x:v>8</x:v>
      </x:c>
      <x:c r="B12" t="n">
        <x:v>1778.9260416666666</x:v>
      </x:c>
      <x:c r="C12" t="n">
        <x:v>656.6072916666667</x:v>
      </x:c>
      <x:c r="D12" t="n">
        <x:v>100</x:v>
      </x:c>
      <x:c r="E12" t="n">
        <x:v>114.39999999999999</x:v>
      </x:c>
      <x:c r="F12" t="n">
        <x:v>41.6</x:v>
      </x:c>
      <x:c r="G12" t="n">
        <x:v>1522.9260416666666</x:v>
      </x:c>
      <x:c r="H12" t="n">
        <x:v>400.6072916666667</x:v>
      </x:c>
      <x:c r="I12" t="n">
        <x:v>156</x:v>
      </x:c>
      <x:c r="J12" t="n">
        <x:v>249.60000000000002</x:v>
      </x:c>
      <x:c r="K12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2" t="n">
        <x:f>MAX(ABS(B12-'36M Workforce'!B13),ABS(C12-'36M Workforce'!C13),ABS(D12-'36M Workforce'!D13),ABS(E12-'36M Workforce'!E13),ABS(F12-'36M Workforce'!F13),ABS(G12-'36M Workforce'!G13),ABS(H12-'36M Workforce'!H13),ABS(I12-'36M Workforce'!P13),ABS(J12-'36M Workforce'!S13))</x:f>
        <x:v>0</x:v>
      </x:c>
      <x:c r="M12" t="str">
        <x:f>IF(K12="CHANGED SCENARIO","SCENARIO",IF(L12&lt;0.000001,"PASS","FAIL"))</x:f>
        <x:v>PASS</x:v>
      </x:c>
    </x:row>
    <x:row r="13">
      <x:c r="A13" t="n">
        <x:v>9</x:v>
      </x:c>
      <x:c r="B13" t="n">
        <x:v>2187.5753472222223</x:v>
      </x:c>
      <x:c r="C13" t="n">
        <x:v>988.6503472222223</x:v>
      </x:c>
      <x:c r="D13" t="n">
        <x:v>112.5</x:v>
      </x:c>
      <x:c r="E13" t="n">
        <x:v>143</x:v>
      </x:c>
      <x:c r="F13" t="n">
        <x:v>52</x:v>
      </x:c>
      <x:c r="G13" t="n">
        <x:v>1880.0753472222223</x:v>
      </x:c>
      <x:c r="H13" t="n">
        <x:v>681.1503472222223</x:v>
      </x:c>
      <x:c r="I13" t="n">
        <x:v>195</x:v>
      </x:c>
      <x:c r="J13" t="n">
        <x:v>312</x:v>
      </x:c>
      <x:c r="K13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3" t="n">
        <x:f>MAX(ABS(B13-'36M Workforce'!B14),ABS(C13-'36M Workforce'!C14),ABS(D13-'36M Workforce'!D14),ABS(E13-'36M Workforce'!E14),ABS(F13-'36M Workforce'!F14),ABS(G13-'36M Workforce'!G14),ABS(H13-'36M Workforce'!H14),ABS(I13-'36M Workforce'!P14),ABS(J13-'36M Workforce'!S14))</x:f>
        <x:v>0</x:v>
      </x:c>
      <x:c r="M13" t="str">
        <x:f>IF(K13="CHANGED SCENARIO","SCENARIO",IF(L13&lt;0.000001,"PASS","FAIL"))</x:f>
        <x:v>PASS</x:v>
      </x:c>
    </x:row>
    <x:row r="14">
      <x:c r="A14" t="n">
        <x:v>10</x:v>
      </x:c>
      <x:c r="B14" t="n">
        <x:v>2572.176736111111</x:v>
      </x:c>
      <x:c r="C14" t="n">
        <x:v>1371.0204861111113</x:v>
      </x:c>
      <x:c r="D14" t="n">
        <x:v>125</x:v>
      </x:c>
      <x:c r="E14" t="n">
        <x:v>171.60000000000002</x:v>
      </x:c>
      <x:c r="F14" t="n">
        <x:v>62.400000000000006</x:v>
      </x:c>
      <x:c r="G14" t="n">
        <x:v>2213.176736111111</x:v>
      </x:c>
      <x:c r="H14" t="n">
        <x:v>1012.0204861111112</x:v>
      </x:c>
      <x:c r="I14" t="n">
        <x:v>234</x:v>
      </x:c>
      <x:c r="J14" t="n">
        <x:v>374.40000000000003</x:v>
      </x:c>
      <x:c r="K14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4" t="n">
        <x:f>MAX(ABS(B14-'36M Workforce'!B15),ABS(C14-'36M Workforce'!C15),ABS(D14-'36M Workforce'!D15),ABS(E14-'36M Workforce'!E15),ABS(F14-'36M Workforce'!F15),ABS(G14-'36M Workforce'!G15),ABS(H14-'36M Workforce'!H15),ABS(I14-'36M Workforce'!P15),ABS(J14-'36M Workforce'!S15))</x:f>
        <x:v>0</x:v>
      </x:c>
      <x:c r="M14" t="str">
        <x:f>IF(K14="CHANGED SCENARIO","SCENARIO",IF(L14&lt;0.000001,"PASS","FAIL"))</x:f>
        <x:v>PASS</x:v>
      </x:c>
    </x:row>
    <x:row r="15">
      <x:c r="A15" t="n">
        <x:v>11</x:v>
      </x:c>
      <x:c r="B15" t="n">
        <x:v>2907.9385416666673</x:v>
      </x:c>
      <x:c r="C15" t="n">
        <x:v>1778.9260416666666</x:v>
      </x:c>
      <x:c r="D15" t="n">
        <x:v>137.5</x:v>
      </x:c>
      <x:c r="E15" t="n">
        <x:v>200.20000000000002</x:v>
      </x:c>
      <x:c r="F15" t="n">
        <x:v>72.8</x:v>
      </x:c>
      <x:c r="G15" t="n">
        <x:v>2497.4385416666673</x:v>
      </x:c>
      <x:c r="H15" t="n">
        <x:v>1368.4260416666666</x:v>
      </x:c>
      <x:c r="I15" t="n">
        <x:v>273</x:v>
      </x:c>
      <x:c r="J15" t="n">
        <x:v>436.79999999999995</x:v>
      </x:c>
      <x:c r="K15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5" t="n">
        <x:f>MAX(ABS(B15-'36M Workforce'!B16),ABS(C15-'36M Workforce'!C16),ABS(D15-'36M Workforce'!D16),ABS(E15-'36M Workforce'!E16),ABS(F15-'36M Workforce'!F16),ABS(G15-'36M Workforce'!G16),ABS(H15-'36M Workforce'!H16),ABS(I15-'36M Workforce'!P16),ABS(J15-'36M Workforce'!S16))</x:f>
        <x:v>0</x:v>
      </x:c>
      <x:c r="M15" t="str">
        <x:f>IF(K15="CHANGED SCENARIO","SCENARIO",IF(L15&lt;0.000001,"PASS","FAIL"))</x:f>
        <x:v>PASS</x:v>
      </x:c>
    </x:row>
    <x:row r="16">
      <x:c r="A16" t="n">
        <x:v>12</x:v>
      </x:c>
      <x:c r="B16" t="n">
        <x:v>3170.069097222222</x:v>
      </x:c>
      <x:c r="C16" t="n">
        <x:v>2187.5753472222223</x:v>
      </x:c>
      <x:c r="D16" t="n">
        <x:v>150</x:v>
      </x:c>
      <x:c r="E16" t="n">
        <x:v>228.79999999999998</x:v>
      </x:c>
      <x:c r="F16" t="n">
        <x:v>83.2</x:v>
      </x:c>
      <x:c r="G16" t="n">
        <x:v>2708.069097222222</x:v>
      </x:c>
      <x:c r="H16" t="n">
        <x:v>1725.5753472222223</x:v>
      </x:c>
      <x:c r="I16" t="n">
        <x:v>312</x:v>
      </x:c>
      <x:c r="J16" t="n">
        <x:v>499.20000000000005</x:v>
      </x:c>
      <x:c r="K16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6" t="n">
        <x:f>MAX(ABS(B16-'36M Workforce'!B17),ABS(C16-'36M Workforce'!C17),ABS(D16-'36M Workforce'!D17),ABS(E16-'36M Workforce'!E17),ABS(F16-'36M Workforce'!F17),ABS(G16-'36M Workforce'!G17),ABS(H16-'36M Workforce'!H17),ABS(I16-'36M Workforce'!P17),ABS(J16-'36M Workforce'!S17))</x:f>
        <x:v>0</x:v>
      </x:c>
      <x:c r="M16" t="str">
        <x:f>IF(K16="CHANGED SCENARIO","SCENARIO",IF(L16&lt;0.000001,"PASS","FAIL"))</x:f>
        <x:v>PASS</x:v>
      </x:c>
    </x:row>
    <x:row r="17">
      <x:c r="A17" t="n">
        <x:v>13</x:v>
      </x:c>
      <x:c r="B17" t="n">
        <x:v>3352.618402777778</x:v>
      </x:c>
      <x:c r="C17" t="n">
        <x:v>2572.176736111111</x:v>
      </x:c>
      <x:c r="D17" t="n">
        <x:v>162.5</x:v>
      </x:c>
      <x:c r="E17" t="n">
        <x:v>257.4</x:v>
      </x:c>
      <x:c r="F17" t="n">
        <x:v>93.6</x:v>
      </x:c>
      <x:c r="G17" t="n">
        <x:v>2839.118402777778</x:v>
      </x:c>
      <x:c r="H17" t="n">
        <x:v>2058.676736111111</x:v>
      </x:c>
      <x:c r="I17" t="n">
        <x:v>351</x:v>
      </x:c>
      <x:c r="J17" t="n">
        <x:v>561.5999999999999</x:v>
      </x:c>
      <x:c r="K17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7" t="n">
        <x:f>MAX(ABS(B17-'36M Workforce'!B18),ABS(C17-'36M Workforce'!C18),ABS(D17-'36M Workforce'!D18),ABS(E17-'36M Workforce'!E18),ABS(F17-'36M Workforce'!F18),ABS(G17-'36M Workforce'!G18),ABS(H17-'36M Workforce'!H18),ABS(I17-'36M Workforce'!P18),ABS(J17-'36M Workforce'!S18))</x:f>
        <x:v>0</x:v>
      </x:c>
      <x:c r="M17" t="str">
        <x:f>IF(K17="CHANGED SCENARIO","SCENARIO",IF(L17&lt;0.000001,"PASS","FAIL"))</x:f>
        <x:v>PASS</x:v>
      </x:c>
    </x:row>
    <x:row r="18">
      <x:c r="A18" t="n">
        <x:v>14</x:v>
      </x:c>
      <x:c r="B18" t="n">
        <x:v>3469.3045138888892</x:v>
      </x:c>
      <x:c r="C18" t="n">
        <x:v>2907.9385416666673</x:v>
      </x:c>
      <x:c r="D18" t="n">
        <x:v>175</x:v>
      </x:c>
      <x:c r="E18" t="n">
        <x:v>286</x:v>
      </x:c>
      <x:c r="F18" t="n">
        <x:v>104</x:v>
      </x:c>
      <x:c r="G18" t="n">
        <x:v>2904.3045138888892</x:v>
      </x:c>
      <x:c r="H18" t="n">
        <x:v>2342.9385416666673</x:v>
      </x:c>
      <x:c r="I18" t="n">
        <x:v>390</x:v>
      </x:c>
      <x:c r="J18" t="n">
        <x:v>624</x:v>
      </x:c>
      <x:c r="K18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8" t="n">
        <x:f>MAX(ABS(B18-'36M Workforce'!B19),ABS(C18-'36M Workforce'!C19),ABS(D18-'36M Workforce'!D19),ABS(E18-'36M Workforce'!E19),ABS(F18-'36M Workforce'!F19),ABS(G18-'36M Workforce'!G19),ABS(H18-'36M Workforce'!H19),ABS(I18-'36M Workforce'!P19),ABS(J18-'36M Workforce'!S19))</x:f>
        <x:v>0</x:v>
      </x:c>
      <x:c r="M18" t="str">
        <x:f>IF(K18="CHANGED SCENARIO","SCENARIO",IF(L18&lt;0.000001,"PASS","FAIL"))</x:f>
        <x:v>PASS</x:v>
      </x:c>
    </x:row>
    <x:row r="19">
      <x:c r="A19" t="n">
        <x:v>15</x:v>
      </x:c>
      <x:c r="B19" t="n">
        <x:v>3534.423958333333</x:v>
      </x:c>
      <x:c r="C19" t="n">
        <x:v>3170.069097222222</x:v>
      </x:c>
      <x:c r="D19" t="n">
        <x:v>187.5</x:v>
      </x:c>
      <x:c r="E19" t="n">
        <x:v>314.59999999999997</x:v>
      </x:c>
      <x:c r="F19" t="n">
        <x:v>114.39999999999999</x:v>
      </x:c>
      <x:c r="G19" t="n">
        <x:v>2917.923958333333</x:v>
      </x:c>
      <x:c r="H19" t="n">
        <x:v>2553.569097222222</x:v>
      </x:c>
      <x:c r="I19" t="n">
        <x:v>429</x:v>
      </x:c>
      <x:c r="J19" t="n">
        <x:v>686.4</x:v>
      </x:c>
      <x:c r="K19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19" t="n">
        <x:f>MAX(ABS(B19-'36M Workforce'!B20),ABS(C19-'36M Workforce'!C20),ABS(D19-'36M Workforce'!D20),ABS(E19-'36M Workforce'!E20),ABS(F19-'36M Workforce'!F20),ABS(G19-'36M Workforce'!G20),ABS(H19-'36M Workforce'!H20),ABS(I19-'36M Workforce'!P20),ABS(J19-'36M Workforce'!S20))</x:f>
        <x:v>0</x:v>
      </x:c>
      <x:c r="M19" t="str">
        <x:f>IF(K19="CHANGED SCENARIO","SCENARIO",IF(L19&lt;0.000001,"PASS","FAIL"))</x:f>
        <x:v>PASS</x:v>
      </x:c>
    </x:row>
    <x:row r="20">
      <x:c r="A20" t="n">
        <x:v>16</x:v>
      </x:c>
      <x:c r="B20" t="n">
        <x:v>3562.9756944444443</x:v>
      </x:c>
      <x:c r="C20" t="n">
        <x:v>3352.618402777778</x:v>
      </x:c>
      <x:c r="D20" t="n">
        <x:v>200</x:v>
      </x:c>
      <x:c r="E20" t="n">
        <x:v>343.20000000000005</x:v>
      </x:c>
      <x:c r="F20" t="n">
        <x:v>124.80000000000001</x:v>
      </x:c>
      <x:c r="G20" t="n">
        <x:v>2894.9756944444443</x:v>
      </x:c>
      <x:c r="H20" t="n">
        <x:v>2684.618402777778</x:v>
      </x:c>
      <x:c r="I20" t="n">
        <x:v>468</x:v>
      </x:c>
      <x:c r="J20" t="n">
        <x:v>748.8000000000001</x:v>
      </x:c>
      <x:c r="K20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0" t="n">
        <x:f>MAX(ABS(B20-'36M Workforce'!B21),ABS(C20-'36M Workforce'!C21),ABS(D20-'36M Workforce'!D21),ABS(E20-'36M Workforce'!E21),ABS(F20-'36M Workforce'!F21),ABS(G20-'36M Workforce'!G21),ABS(H20-'36M Workforce'!H21),ABS(I20-'36M Workforce'!P21),ABS(J20-'36M Workforce'!S21))</x:f>
        <x:v>0</x:v>
      </x:c>
      <x:c r="M20" t="str">
        <x:f>IF(K20="CHANGED SCENARIO","SCENARIO",IF(L20&lt;0.000001,"PASS","FAIL"))</x:f>
        <x:v>PASS</x:v>
      </x:c>
    </x:row>
    <x:row r="21">
      <x:c r="A21" t="n">
        <x:v>17</x:v>
      </x:c>
      <x:c r="B21" t="n">
        <x:v>3570</x:v>
      </x:c>
      <x:c r="C21" t="n">
        <x:v>3469.3045138888892</x:v>
      </x:c>
      <x:c r="D21" t="n">
        <x:v>212.5</x:v>
      </x:c>
      <x:c r="E21" t="n">
        <x:v>371.8</x:v>
      </x:c>
      <x:c r="F21" t="n">
        <x:v>135.20000000000002</x:v>
      </x:c>
      <x:c r="G21" t="n">
        <x:v>2850.5</x:v>
      </x:c>
      <x:c r="H21" t="n">
        <x:v>2749.8045138888892</x:v>
      </x:c>
      <x:c r="I21" t="n">
        <x:v>468</x:v>
      </x:c>
      <x:c r="J21" t="n">
        <x:v>811.2</x:v>
      </x:c>
      <x:c r="K21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1" t="n">
        <x:f>MAX(ABS(B21-'36M Workforce'!B22),ABS(C21-'36M Workforce'!C22),ABS(D21-'36M Workforce'!D22),ABS(E21-'36M Workforce'!E22),ABS(F21-'36M Workforce'!F22),ABS(G21-'36M Workforce'!G22),ABS(H21-'36M Workforce'!H22),ABS(I21-'36M Workforce'!P22),ABS(J21-'36M Workforce'!S22))</x:f>
        <x:v>0</x:v>
      </x:c>
      <x:c r="M21" t="str">
        <x:f>IF(K21="CHANGED SCENARIO","SCENARIO",IF(L21&lt;0.000001,"PASS","FAIL"))</x:f>
        <x:v>PASS</x:v>
      </x:c>
    </x:row>
    <x:row r="22">
      <x:c r="A22" t="n">
        <x:v>18</x:v>
      </x:c>
      <x:c r="B22" t="n">
        <x:v>3570</x:v>
      </x:c>
      <x:c r="C22" t="n">
        <x:v>3534.423958333333</x:v>
      </x:c>
      <x:c r="D22" t="n">
        <x:v>225</x:v>
      </x:c>
      <x:c r="E22" t="n">
        <x:v>400.40000000000003</x:v>
      </x:c>
      <x:c r="F22" t="n">
        <x:v>145.6</x:v>
      </x:c>
      <x:c r="G22" t="n">
        <x:v>2799</x:v>
      </x:c>
      <x:c r="H22" t="n">
        <x:v>2763.423958333333</x:v>
      </x:c>
      <x:c r="I22" t="n">
        <x:v>468</x:v>
      </x:c>
      <x:c r="J22" t="n">
        <x:v>873.5999999999999</x:v>
      </x:c>
      <x:c r="K22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2" t="n">
        <x:f>MAX(ABS(B22-'36M Workforce'!B23),ABS(C22-'36M Workforce'!C23),ABS(D22-'36M Workforce'!D23),ABS(E22-'36M Workforce'!E23),ABS(F22-'36M Workforce'!F23),ABS(G22-'36M Workforce'!G23),ABS(H22-'36M Workforce'!H23),ABS(I22-'36M Workforce'!P23),ABS(J22-'36M Workforce'!S23))</x:f>
        <x:v>0</x:v>
      </x:c>
      <x:c r="M22" t="str">
        <x:f>IF(K22="CHANGED SCENARIO","SCENARIO",IF(L22&lt;0.000001,"PASS","FAIL"))</x:f>
        <x:v>PASS</x:v>
      </x:c>
    </x:row>
    <x:row r="23">
      <x:c r="A23" t="n">
        <x:v>19</x:v>
      </x:c>
      <x:c r="B23" t="n">
        <x:v>3570</x:v>
      </x:c>
      <x:c r="C23" t="n">
        <x:v>3562.9756944444443</x:v>
      </x:c>
      <x:c r="D23" t="n">
        <x:v>237.5</x:v>
      </x:c>
      <x:c r="E23" t="n">
        <x:v>429</x:v>
      </x:c>
      <x:c r="F23" t="n">
        <x:v>156</x:v>
      </x:c>
      <x:c r="G23" t="n">
        <x:v>2747.5</x:v>
      </x:c>
      <x:c r="H23" t="n">
        <x:v>2740.4756944444443</x:v>
      </x:c>
      <x:c r="I23" t="n">
        <x:v>468</x:v>
      </x:c>
      <x:c r="J23" t="n">
        <x:v>936</x:v>
      </x:c>
      <x:c r="K23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3" t="n">
        <x:f>MAX(ABS(B23-'36M Workforce'!B24),ABS(C23-'36M Workforce'!C24),ABS(D23-'36M Workforce'!D24),ABS(E23-'36M Workforce'!E24),ABS(F23-'36M Workforce'!F24),ABS(G23-'36M Workforce'!G24),ABS(H23-'36M Workforce'!H24),ABS(I23-'36M Workforce'!P24),ABS(J23-'36M Workforce'!S24))</x:f>
        <x:v>0</x:v>
      </x:c>
      <x:c r="M23" t="str">
        <x:f>IF(K23="CHANGED SCENARIO","SCENARIO",IF(L23&lt;0.000001,"PASS","FAIL"))</x:f>
        <x:v>PASS</x:v>
      </x:c>
    </x:row>
    <x:row r="24">
      <x:c r="A24" t="n">
        <x:v>20</x:v>
      </x:c>
      <x:c r="B24" t="n">
        <x:v>3570</x:v>
      </x:c>
      <x:c r="C24" t="n">
        <x:v>3570</x:v>
      </x:c>
      <x:c r="D24" t="n">
        <x:v>250</x:v>
      </x:c>
      <x:c r="E24" t="n">
        <x:v>429</x:v>
      </x:c>
      <x:c r="F24" t="n">
        <x:v>156</x:v>
      </x:c>
      <x:c r="G24" t="n">
        <x:v>2735</x:v>
      </x:c>
      <x:c r="H24" t="n">
        <x:v>2735</x:v>
      </x:c>
      <x:c r="I24" t="n">
        <x:v>429</x:v>
      </x:c>
      <x:c r="J24" t="n">
        <x:v>936</x:v>
      </x:c>
      <x:c r="K24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4" t="n">
        <x:f>MAX(ABS(B24-'36M Workforce'!B25),ABS(C24-'36M Workforce'!C25),ABS(D24-'36M Workforce'!D25),ABS(E24-'36M Workforce'!E25),ABS(F24-'36M Workforce'!F25),ABS(G24-'36M Workforce'!G25),ABS(H24-'36M Workforce'!H25),ABS(I24-'36M Workforce'!P25),ABS(J24-'36M Workforce'!S25))</x:f>
        <x:v>0</x:v>
      </x:c>
      <x:c r="M24" t="str">
        <x:f>IF(K24="CHANGED SCENARIO","SCENARIO",IF(L24&lt;0.000001,"PASS","FAIL"))</x:f>
        <x:v>PASS</x:v>
      </x:c>
    </x:row>
    <x:row r="25">
      <x:c r="A25" t="n">
        <x:v>21</x:v>
      </x:c>
      <x:c r="B25" t="n">
        <x:v>3570</x:v>
      </x:c>
      <x:c r="C25" t="n">
        <x:v>3570</x:v>
      </x:c>
      <x:c r="D25" t="n">
        <x:v>262.5</x:v>
      </x:c>
      <x:c r="E25" t="n">
        <x:v>429</x:v>
      </x:c>
      <x:c r="F25" t="n">
        <x:v>156</x:v>
      </x:c>
      <x:c r="G25" t="n">
        <x:v>2722.5</x:v>
      </x:c>
      <x:c r="H25" t="n">
        <x:v>2722.5</x:v>
      </x:c>
      <x:c r="I25" t="n">
        <x:v>390</x:v>
      </x:c>
      <x:c r="J25" t="n">
        <x:v>936</x:v>
      </x:c>
      <x:c r="K25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5" t="n">
        <x:f>MAX(ABS(B25-'36M Workforce'!B26),ABS(C25-'36M Workforce'!C26),ABS(D25-'36M Workforce'!D26),ABS(E25-'36M Workforce'!E26),ABS(F25-'36M Workforce'!F26),ABS(G25-'36M Workforce'!G26),ABS(H25-'36M Workforce'!H26),ABS(I25-'36M Workforce'!P26),ABS(J25-'36M Workforce'!S26))</x:f>
        <x:v>0</x:v>
      </x:c>
      <x:c r="M25" t="str">
        <x:f>IF(K25="CHANGED SCENARIO","SCENARIO",IF(L25&lt;0.000001,"PASS","FAIL"))</x:f>
        <x:v>PASS</x:v>
      </x:c>
    </x:row>
    <x:row r="26">
      <x:c r="A26" t="n">
        <x:v>22</x:v>
      </x:c>
      <x:c r="B26" t="n">
        <x:v>3570</x:v>
      </x:c>
      <x:c r="C26" t="n">
        <x:v>3570</x:v>
      </x:c>
      <x:c r="D26" t="n">
        <x:v>275</x:v>
      </x:c>
      <x:c r="E26" t="n">
        <x:v>429</x:v>
      </x:c>
      <x:c r="F26" t="n">
        <x:v>156</x:v>
      </x:c>
      <x:c r="G26" t="n">
        <x:v>2710</x:v>
      </x:c>
      <x:c r="H26" t="n">
        <x:v>2710</x:v>
      </x:c>
      <x:c r="I26" t="n">
        <x:v>351</x:v>
      </x:c>
      <x:c r="J26" t="n">
        <x:v>936</x:v>
      </x:c>
      <x:c r="K26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6" t="n">
        <x:f>MAX(ABS(B26-'36M Workforce'!B27),ABS(C26-'36M Workforce'!C27),ABS(D26-'36M Workforce'!D27),ABS(E26-'36M Workforce'!E27),ABS(F26-'36M Workforce'!F27),ABS(G26-'36M Workforce'!G27),ABS(H26-'36M Workforce'!H27),ABS(I26-'36M Workforce'!P27),ABS(J26-'36M Workforce'!S27))</x:f>
        <x:v>0</x:v>
      </x:c>
      <x:c r="M26" t="str">
        <x:f>IF(K26="CHANGED SCENARIO","SCENARIO",IF(L26&lt;0.000001,"PASS","FAIL"))</x:f>
        <x:v>PASS</x:v>
      </x:c>
    </x:row>
    <x:row r="27">
      <x:c r="A27" t="n">
        <x:v>23</x:v>
      </x:c>
      <x:c r="B27" t="n">
        <x:v>3570</x:v>
      </x:c>
      <x:c r="C27" t="n">
        <x:v>3570</x:v>
      </x:c>
      <x:c r="D27" t="n">
        <x:v>287.5</x:v>
      </x:c>
      <x:c r="E27" t="n">
        <x:v>429</x:v>
      </x:c>
      <x:c r="F27" t="n">
        <x:v>156</x:v>
      </x:c>
      <x:c r="G27" t="n">
        <x:v>2697.5</x:v>
      </x:c>
      <x:c r="H27" t="n">
        <x:v>2697.5</x:v>
      </x:c>
      <x:c r="I27" t="n">
        <x:v>312</x:v>
      </x:c>
      <x:c r="J27" t="n">
        <x:v>936</x:v>
      </x:c>
      <x:c r="K27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7" t="n">
        <x:f>MAX(ABS(B27-'36M Workforce'!B28),ABS(C27-'36M Workforce'!C28),ABS(D27-'36M Workforce'!D28),ABS(E27-'36M Workforce'!E28),ABS(F27-'36M Workforce'!F28),ABS(G27-'36M Workforce'!G28),ABS(H27-'36M Workforce'!H28),ABS(I27-'36M Workforce'!P28),ABS(J27-'36M Workforce'!S28))</x:f>
        <x:v>0</x:v>
      </x:c>
      <x:c r="M27" t="str">
        <x:f>IF(K27="CHANGED SCENARIO","SCENARIO",IF(L27&lt;0.000001,"PASS","FAIL"))</x:f>
        <x:v>PASS</x:v>
      </x:c>
    </x:row>
    <x:row r="28">
      <x:c r="A28" t="n">
        <x:v>24</x:v>
      </x:c>
      <x:c r="B28" t="n">
        <x:v>3570</x:v>
      </x:c>
      <x:c r="C28" t="n">
        <x:v>3570</x:v>
      </x:c>
      <x:c r="D28" t="n">
        <x:v>300</x:v>
      </x:c>
      <x:c r="E28" t="n">
        <x:v>429</x:v>
      </x:c>
      <x:c r="F28" t="n">
        <x:v>156</x:v>
      </x:c>
      <x:c r="G28" t="n">
        <x:v>2685</x:v>
      </x:c>
      <x:c r="H28" t="n">
        <x:v>2685</x:v>
      </x:c>
      <x:c r="I28" t="n">
        <x:v>273</x:v>
      </x:c>
      <x:c r="J28" t="n">
        <x:v>936</x:v>
      </x:c>
      <x:c r="K28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8" t="n">
        <x:f>MAX(ABS(B28-'36M Workforce'!B29),ABS(C28-'36M Workforce'!C29),ABS(D28-'36M Workforce'!D29),ABS(E28-'36M Workforce'!E29),ABS(F28-'36M Workforce'!F29),ABS(G28-'36M Workforce'!G29),ABS(H28-'36M Workforce'!H29),ABS(I28-'36M Workforce'!P29),ABS(J28-'36M Workforce'!S29))</x:f>
        <x:v>0</x:v>
      </x:c>
      <x:c r="M28" t="str">
        <x:f>IF(K28="CHANGED SCENARIO","SCENARIO",IF(L28&lt;0.000001,"PASS","FAIL"))</x:f>
        <x:v>PASS</x:v>
      </x:c>
    </x:row>
    <x:row r="29">
      <x:c r="A29" t="n">
        <x:v>25</x:v>
      </x:c>
      <x:c r="B29" t="n">
        <x:v>3570</x:v>
      </x:c>
      <x:c r="C29" t="n">
        <x:v>3570</x:v>
      </x:c>
      <x:c r="D29" t="n">
        <x:v>312.5</x:v>
      </x:c>
      <x:c r="E29" t="n">
        <x:v>429</x:v>
      </x:c>
      <x:c r="F29" t="n">
        <x:v>156</x:v>
      </x:c>
      <x:c r="G29" t="n">
        <x:v>2672.5</x:v>
      </x:c>
      <x:c r="H29" t="n">
        <x:v>2672.5</x:v>
      </x:c>
      <x:c r="I29" t="n">
        <x:v>234</x:v>
      </x:c>
      <x:c r="J29" t="n">
        <x:v>936</x:v>
      </x:c>
      <x:c r="K29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29" t="n">
        <x:f>MAX(ABS(B29-'36M Workforce'!B30),ABS(C29-'36M Workforce'!C30),ABS(D29-'36M Workforce'!D30),ABS(E29-'36M Workforce'!E30),ABS(F29-'36M Workforce'!F30),ABS(G29-'36M Workforce'!G30),ABS(H29-'36M Workforce'!H30),ABS(I29-'36M Workforce'!P30),ABS(J29-'36M Workforce'!S30))</x:f>
        <x:v>0</x:v>
      </x:c>
      <x:c r="M29" t="str">
        <x:f>IF(K29="CHANGED SCENARIO","SCENARIO",IF(L29&lt;0.000001,"PASS","FAIL"))</x:f>
        <x:v>PASS</x:v>
      </x:c>
    </x:row>
    <x:row r="30">
      <x:c r="A30" t="n">
        <x:v>26</x:v>
      </x:c>
      <x:c r="B30" t="n">
        <x:v>3570</x:v>
      </x:c>
      <x:c r="C30" t="n">
        <x:v>3570</x:v>
      </x:c>
      <x:c r="D30" t="n">
        <x:v>325</x:v>
      </x:c>
      <x:c r="E30" t="n">
        <x:v>429</x:v>
      </x:c>
      <x:c r="F30" t="n">
        <x:v>156</x:v>
      </x:c>
      <x:c r="G30" t="n">
        <x:v>2660</x:v>
      </x:c>
      <x:c r="H30" t="n">
        <x:v>2660</x:v>
      </x:c>
      <x:c r="I30" t="n">
        <x:v>195</x:v>
      </x:c>
      <x:c r="J30" t="n">
        <x:v>936</x:v>
      </x:c>
      <x:c r="K30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0" t="n">
        <x:f>MAX(ABS(B30-'36M Workforce'!B31),ABS(C30-'36M Workforce'!C31),ABS(D30-'36M Workforce'!D31),ABS(E30-'36M Workforce'!E31),ABS(F30-'36M Workforce'!F31),ABS(G30-'36M Workforce'!G31),ABS(H30-'36M Workforce'!H31),ABS(I30-'36M Workforce'!P31),ABS(J30-'36M Workforce'!S31))</x:f>
        <x:v>0</x:v>
      </x:c>
      <x:c r="M30" t="str">
        <x:f>IF(K30="CHANGED SCENARIO","SCENARIO",IF(L30&lt;0.000001,"PASS","FAIL"))</x:f>
        <x:v>PASS</x:v>
      </x:c>
    </x:row>
    <x:row r="31">
      <x:c r="A31" t="n">
        <x:v>27</x:v>
      </x:c>
      <x:c r="B31" t="n">
        <x:v>3570</x:v>
      </x:c>
      <x:c r="C31" t="n">
        <x:v>3570</x:v>
      </x:c>
      <x:c r="D31" t="n">
        <x:v>337.5</x:v>
      </x:c>
      <x:c r="E31" t="n">
        <x:v>429</x:v>
      </x:c>
      <x:c r="F31" t="n">
        <x:v>156</x:v>
      </x:c>
      <x:c r="G31" t="n">
        <x:v>2647.5</x:v>
      </x:c>
      <x:c r="H31" t="n">
        <x:v>2647.5</x:v>
      </x:c>
      <x:c r="I31" t="n">
        <x:v>156</x:v>
      </x:c>
      <x:c r="J31" t="n">
        <x:v>936</x:v>
      </x:c>
      <x:c r="K31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1" t="n">
        <x:f>MAX(ABS(B31-'36M Workforce'!B32),ABS(C31-'36M Workforce'!C32),ABS(D31-'36M Workforce'!D32),ABS(E31-'36M Workforce'!E32),ABS(F31-'36M Workforce'!F32),ABS(G31-'36M Workforce'!G32),ABS(H31-'36M Workforce'!H32),ABS(I31-'36M Workforce'!P32),ABS(J31-'36M Workforce'!S32))</x:f>
        <x:v>0</x:v>
      </x:c>
      <x:c r="M31" t="str">
        <x:f>IF(K31="CHANGED SCENARIO","SCENARIO",IF(L31&lt;0.000001,"PASS","FAIL"))</x:f>
        <x:v>PASS</x:v>
      </x:c>
    </x:row>
    <x:row r="32">
      <x:c r="A32" t="n">
        <x:v>28</x:v>
      </x:c>
      <x:c r="B32" t="n">
        <x:v>3570</x:v>
      </x:c>
      <x:c r="C32" t="n">
        <x:v>3570</x:v>
      </x:c>
      <x:c r="D32" t="n">
        <x:v>350</x:v>
      </x:c>
      <x:c r="E32" t="n">
        <x:v>429</x:v>
      </x:c>
      <x:c r="F32" t="n">
        <x:v>156</x:v>
      </x:c>
      <x:c r="G32" t="n">
        <x:v>2635</x:v>
      </x:c>
      <x:c r="H32" t="n">
        <x:v>2635</x:v>
      </x:c>
      <x:c r="I32" t="n">
        <x:v>117</x:v>
      </x:c>
      <x:c r="J32" t="n">
        <x:v>936</x:v>
      </x:c>
      <x:c r="K32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2" t="n">
        <x:f>MAX(ABS(B32-'36M Workforce'!B33),ABS(C32-'36M Workforce'!C33),ABS(D32-'36M Workforce'!D33),ABS(E32-'36M Workforce'!E33),ABS(F32-'36M Workforce'!F33),ABS(G32-'36M Workforce'!G33),ABS(H32-'36M Workforce'!H33),ABS(I32-'36M Workforce'!P33),ABS(J32-'36M Workforce'!S33))</x:f>
        <x:v>0</x:v>
      </x:c>
      <x:c r="M32" t="str">
        <x:f>IF(K32="CHANGED SCENARIO","SCENARIO",IF(L32&lt;0.000001,"PASS","FAIL"))</x:f>
        <x:v>PASS</x:v>
      </x:c>
    </x:row>
    <x:row r="33">
      <x:c r="A33" t="n">
        <x:v>29</x:v>
      </x:c>
      <x:c r="B33" t="n">
        <x:v>3570</x:v>
      </x:c>
      <x:c r="C33" t="n">
        <x:v>3570</x:v>
      </x:c>
      <x:c r="D33" t="n">
        <x:v>362.5</x:v>
      </x:c>
      <x:c r="E33" t="n">
        <x:v>429</x:v>
      </x:c>
      <x:c r="F33" t="n">
        <x:v>156</x:v>
      </x:c>
      <x:c r="G33" t="n">
        <x:v>2622.5</x:v>
      </x:c>
      <x:c r="H33" t="n">
        <x:v>2622.5</x:v>
      </x:c>
      <x:c r="I33" t="n">
        <x:v>78</x:v>
      </x:c>
      <x:c r="J33" t="n">
        <x:v>936</x:v>
      </x:c>
      <x:c r="K33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3" t="n">
        <x:f>MAX(ABS(B33-'36M Workforce'!B34),ABS(C33-'36M Workforce'!C34),ABS(D33-'36M Workforce'!D34),ABS(E33-'36M Workforce'!E34),ABS(F33-'36M Workforce'!F34),ABS(G33-'36M Workforce'!G34),ABS(H33-'36M Workforce'!H34),ABS(I33-'36M Workforce'!P34),ABS(J33-'36M Workforce'!S34))</x:f>
        <x:v>0</x:v>
      </x:c>
      <x:c r="M33" t="str">
        <x:f>IF(K33="CHANGED SCENARIO","SCENARIO",IF(L33&lt;0.000001,"PASS","FAIL"))</x:f>
        <x:v>PASS</x:v>
      </x:c>
    </x:row>
    <x:row r="34">
      <x:c r="A34" t="n">
        <x:v>30</x:v>
      </x:c>
      <x:c r="B34" t="n">
        <x:v>3570</x:v>
      </x:c>
      <x:c r="C34" t="n">
        <x:v>3570</x:v>
      </x:c>
      <x:c r="D34" t="n">
        <x:v>375</x:v>
      </x:c>
      <x:c r="E34" t="n">
        <x:v>429</x:v>
      </x:c>
      <x:c r="F34" t="n">
        <x:v>156</x:v>
      </x:c>
      <x:c r="G34" t="n">
        <x:v>2610</x:v>
      </x:c>
      <x:c r="H34" t="n">
        <x:v>2610</x:v>
      </x:c>
      <x:c r="I34" t="n">
        <x:v>39</x:v>
      </x:c>
      <x:c r="J34" t="n">
        <x:v>936</x:v>
      </x:c>
      <x:c r="K34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4" t="n">
        <x:f>MAX(ABS(B34-'36M Workforce'!B35),ABS(C34-'36M Workforce'!C35),ABS(D34-'36M Workforce'!D35),ABS(E34-'36M Workforce'!E35),ABS(F34-'36M Workforce'!F35),ABS(G34-'36M Workforce'!G35),ABS(H34-'36M Workforce'!H35),ABS(I34-'36M Workforce'!P35),ABS(J34-'36M Workforce'!S35))</x:f>
        <x:v>0</x:v>
      </x:c>
      <x:c r="M34" t="str">
        <x:f>IF(K34="CHANGED SCENARIO","SCENARIO",IF(L34&lt;0.000001,"PASS","FAIL"))</x:f>
        <x:v>PASS</x:v>
      </x:c>
    </x:row>
    <x:row r="35">
      <x:c r="A35" t="n">
        <x:v>31</x:v>
      </x:c>
      <x:c r="B35" t="n">
        <x:v>3570</x:v>
      </x:c>
      <x:c r="C35" t="n">
        <x:v>3570</x:v>
      </x:c>
      <x:c r="D35" t="n">
        <x:v>387.5</x:v>
      </x:c>
      <x:c r="E35" t="n">
        <x:v>429</x:v>
      </x:c>
      <x:c r="F35" t="n">
        <x:v>156</x:v>
      </x:c>
      <x:c r="G35" t="n">
        <x:v>2597.5</x:v>
      </x:c>
      <x:c r="H35" t="n">
        <x:v>2597.5</x:v>
      </x:c>
      <x:c r="I35" t="n">
        <x:v>0</x:v>
      </x:c>
      <x:c r="J35" t="n">
        <x:v>936</x:v>
      </x:c>
      <x:c r="K35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5" t="n">
        <x:f>MAX(ABS(B35-'36M Workforce'!B36),ABS(C35-'36M Workforce'!C36),ABS(D35-'36M Workforce'!D36),ABS(E35-'36M Workforce'!E36),ABS(F35-'36M Workforce'!F36),ABS(G35-'36M Workforce'!G36),ABS(H35-'36M Workforce'!H36),ABS(I35-'36M Workforce'!P36),ABS(J35-'36M Workforce'!S36))</x:f>
        <x:v>0</x:v>
      </x:c>
      <x:c r="M35" t="str">
        <x:f>IF(K35="CHANGED SCENARIO","SCENARIO",IF(L35&lt;0.000001,"PASS","FAIL"))</x:f>
        <x:v>PASS</x:v>
      </x:c>
    </x:row>
    <x:row r="36">
      <x:c r="A36" t="n">
        <x:v>32</x:v>
      </x:c>
      <x:c r="B36" t="n">
        <x:v>3570</x:v>
      </x:c>
      <x:c r="C36" t="n">
        <x:v>3570</x:v>
      </x:c>
      <x:c r="D36" t="n">
        <x:v>400</x:v>
      </x:c>
      <x:c r="E36" t="n">
        <x:v>429</x:v>
      </x:c>
      <x:c r="F36" t="n">
        <x:v>156</x:v>
      </x:c>
      <x:c r="G36" t="n">
        <x:v>2585</x:v>
      </x:c>
      <x:c r="H36" t="n">
        <x:v>2585</x:v>
      </x:c>
      <x:c r="I36" t="n">
        <x:v>0</x:v>
      </x:c>
      <x:c r="J36" t="n">
        <x:v>936</x:v>
      </x:c>
      <x:c r="K36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6" t="n">
        <x:f>MAX(ABS(B36-'36M Workforce'!B37),ABS(C36-'36M Workforce'!C37),ABS(D36-'36M Workforce'!D37),ABS(E36-'36M Workforce'!E37),ABS(F36-'36M Workforce'!F37),ABS(G36-'36M Workforce'!G37),ABS(H36-'36M Workforce'!H37),ABS(I36-'36M Workforce'!P37),ABS(J36-'36M Workforce'!S37))</x:f>
        <x:v>0</x:v>
      </x:c>
      <x:c r="M36" t="str">
        <x:f>IF(K36="CHANGED SCENARIO","SCENARIO",IF(L36&lt;0.000001,"PASS","FAIL"))</x:f>
        <x:v>PASS</x:v>
      </x:c>
    </x:row>
    <x:row r="37">
      <x:c r="A37" t="n">
        <x:v>33</x:v>
      </x:c>
      <x:c r="B37" t="n">
        <x:v>3570</x:v>
      </x:c>
      <x:c r="C37" t="n">
        <x:v>3570</x:v>
      </x:c>
      <x:c r="D37" t="n">
        <x:v>412.5</x:v>
      </x:c>
      <x:c r="E37" t="n">
        <x:v>429</x:v>
      </x:c>
      <x:c r="F37" t="n">
        <x:v>156</x:v>
      </x:c>
      <x:c r="G37" t="n">
        <x:v>2572.5</x:v>
      </x:c>
      <x:c r="H37" t="n">
        <x:v>2572.5</x:v>
      </x:c>
      <x:c r="I37" t="n">
        <x:v>0</x:v>
      </x:c>
      <x:c r="J37" t="n">
        <x:v>936</x:v>
      </x:c>
      <x:c r="K37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7" t="n">
        <x:f>MAX(ABS(B37-'36M Workforce'!B38),ABS(C37-'36M Workforce'!C38),ABS(D37-'36M Workforce'!D38),ABS(E37-'36M Workforce'!E38),ABS(F37-'36M Workforce'!F38),ABS(G37-'36M Workforce'!G38),ABS(H37-'36M Workforce'!H38),ABS(I37-'36M Workforce'!P38),ABS(J37-'36M Workforce'!S38))</x:f>
        <x:v>0</x:v>
      </x:c>
      <x:c r="M37" t="str">
        <x:f>IF(K37="CHANGED SCENARIO","SCENARIO",IF(L37&lt;0.000001,"PASS","FAIL"))</x:f>
        <x:v>PASS</x:v>
      </x:c>
    </x:row>
    <x:row r="38">
      <x:c r="A38" t="n">
        <x:v>34</x:v>
      </x:c>
      <x:c r="B38" t="n">
        <x:v>3570</x:v>
      </x:c>
      <x:c r="C38" t="n">
        <x:v>3570</x:v>
      </x:c>
      <x:c r="D38" t="n">
        <x:v>425</x:v>
      </x:c>
      <x:c r="E38" t="n">
        <x:v>429</x:v>
      </x:c>
      <x:c r="F38" t="n">
        <x:v>156</x:v>
      </x:c>
      <x:c r="G38" t="n">
        <x:v>2560</x:v>
      </x:c>
      <x:c r="H38" t="n">
        <x:v>2560</x:v>
      </x:c>
      <x:c r="I38" t="n">
        <x:v>0</x:v>
      </x:c>
      <x:c r="J38" t="n">
        <x:v>936</x:v>
      </x:c>
      <x:c r="K38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8" t="n">
        <x:f>MAX(ABS(B38-'36M Workforce'!B39),ABS(C38-'36M Workforce'!C39),ABS(D38-'36M Workforce'!D39),ABS(E38-'36M Workforce'!E39),ABS(F38-'36M Workforce'!F39),ABS(G38-'36M Workforce'!G39),ABS(H38-'36M Workforce'!H39),ABS(I38-'36M Workforce'!P39),ABS(J38-'36M Workforce'!S39))</x:f>
        <x:v>0</x:v>
      </x:c>
      <x:c r="M38" t="str">
        <x:f>IF(K38="CHANGED SCENARIO","SCENARIO",IF(L38&lt;0.000001,"PASS","FAIL"))</x:f>
        <x:v>PASS</x:v>
      </x:c>
    </x:row>
    <x:row r="39">
      <x:c r="A39" t="n">
        <x:v>35</x:v>
      </x:c>
      <x:c r="B39" t="n">
        <x:v>3570</x:v>
      </x:c>
      <x:c r="C39" t="n">
        <x:v>3570</x:v>
      </x:c>
      <x:c r="D39" t="n">
        <x:v>437.5</x:v>
      </x:c>
      <x:c r="E39" t="n">
        <x:v>429</x:v>
      </x:c>
      <x:c r="F39" t="n">
        <x:v>156</x:v>
      </x:c>
      <x:c r="G39" t="n">
        <x:v>2547.5</x:v>
      </x:c>
      <x:c r="H39" t="n">
        <x:v>2547.5</x:v>
      </x:c>
      <x:c r="I39" t="n">
        <x:v>0</x:v>
      </x:c>
      <x:c r="J39" t="n">
        <x:v>936</x:v>
      </x:c>
      <x:c r="K39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39" t="n">
        <x:f>MAX(ABS(B39-'36M Workforce'!B40),ABS(C39-'36M Workforce'!C40),ABS(D39-'36M Workforce'!D40),ABS(E39-'36M Workforce'!E40),ABS(F39-'36M Workforce'!F40),ABS(G39-'36M Workforce'!G40),ABS(H39-'36M Workforce'!H40),ABS(I39-'36M Workforce'!P40),ABS(J39-'36M Workforce'!S40))</x:f>
        <x:v>0</x:v>
      </x:c>
      <x:c r="M39" t="str">
        <x:f>IF(K39="CHANGED SCENARIO","SCENARIO",IF(L39&lt;0.000001,"PASS","FAIL"))</x:f>
        <x:v>PASS</x:v>
      </x:c>
    </x:row>
    <x:row r="40">
      <x:c r="A40" t="n">
        <x:v>36</x:v>
      </x:c>
      <x:c r="B40" t="n">
        <x:v>3570</x:v>
      </x:c>
      <x:c r="C40" t="n">
        <x:v>3570</x:v>
      </x:c>
      <x:c r="D40" t="n">
        <x:v>450</x:v>
      </x:c>
      <x:c r="E40" t="n">
        <x:v>429</x:v>
      </x:c>
      <x:c r="F40" t="n">
        <x:v>156</x:v>
      </x:c>
      <x:c r="G40" t="n">
        <x:v>2535</x:v>
      </x:c>
      <x:c r="H40" t="n">
        <x:v>2535</x:v>
      </x:c>
      <x:c r="I40" t="n">
        <x:v>0</x:v>
      </x:c>
      <x:c r="J40" t="n">
        <x:v>936</x:v>
      </x:c>
      <x:c r="K40" t="str">
        <x:f>IF(AND('Assumptions'!$B$2=6000,'Assumptions'!$B$3=0.7,'Assumptions'!$B$4=0.85,'Assumptions'!$B$5=0.025,'Assumptions'!$B$6=0.65,'Assumptions'!$B$7=660,'Assumptions'!$B$8=240,'Assumptions'!$B$13=6,'Assumptions'!$B$18=12,'Assumptions'!$B$28=3,'Assumptions'!$B$29=1),"BASELINE","CHANGED SCENARIO")</x:f>
        <x:v>BASELINE</x:v>
      </x:c>
      <x:c r="L40" t="n">
        <x:f>MAX(ABS(B40-'36M Workforce'!B41),ABS(C40-'36M Workforce'!C41),ABS(D40-'36M Workforce'!D41),ABS(E40-'36M Workforce'!E41),ABS(F40-'36M Workforce'!F41),ABS(G40-'36M Workforce'!G41),ABS(H40-'36M Workforce'!H41),ABS(I40-'36M Workforce'!P41),ABS(J40-'36M Workforce'!S41))</x:f>
        <x:v>0</x:v>
      </x:c>
      <x:c r="M40" t="str">
        <x:f>IF(K40="CHANGED SCENARIO","SCENARIO",IF(L40&lt;0.000001,"PASS","FAIL"))</x:f>
        <x:v>PASS</x:v>
      </x:c>
    </x:row>
  </x:sheetData>
  <x:conditionalFormatting sqref="M4:M40">
    <x:cfRule type="expression" dxfId="3" priority="1">
      <x:formula>$M4="FAIL"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1" hidden="0" customWidth="1"/>
    <x:col min="4" max="4" width="53" hidden="0" customWidth="1"/>
    <x:col min="5" max="5" width="46" hidden="0" customWidth="1"/>
    <x:col min="6" max="6" width="31" hidden="0" customWidth="1"/>
    <x:col min="7" max="7" width="72" hidden="0" customWidth="1"/>
  </x:cols>
  <x:sheetData>
    <x:row r="1" ht="29" customHeight="1">
      <x:c r="A1" s="66" t="str">
        <x:v>CHECK ID</x:v>
      </x:c>
      <x:c r="B1" s="66" t="str">
        <x:v>WHAT MUST HOLD</x:v>
      </x:c>
      <x:c r="C1" s="66" t="str">
        <x:v>ACTUAL</x:v>
      </x:c>
      <x:c r="D1" s="66" t="str">
        <x:v>EXPECTED</x:v>
      </x:c>
      <x:c r="E1" s="66" t="str">
        <x:v>DIFFERENCE</x:v>
      </x:c>
      <x:c r="F1" s="66" t="str">
        <x:v>RESULT</x:v>
      </x:c>
      <x:c r="G1" s="66" t="str">
        <x:v>CONSEQUENCE IF FAILED</x:v>
      </x:c>
    </x:row>
    <x:row r="2" ht="26" customHeight="1">
      <x:c r="A2" t="str">
        <x:v>C01</x:v>
      </x:c>
      <x:c r="B2" t="str">
        <x:v>Enterprise headcount allocation</x:v>
      </x:c>
      <x:c r="C2" t="n">
        <x:f>SUM('Enterprise Exposure'!B2:B13)</x:f>
        <x:v>52000</x:v>
      </x:c>
      <x:c r="D2" t="n">
        <x:f>'Assumptions'!B31</x:f>
        <x:v>52000</x:v>
      </x:c>
      <x:c r="E2" t="n">
        <x:f>C2-D2</x:f>
        <x:v>0</x:v>
      </x:c>
      <x:c r="F2" t="str">
        <x:f>IF(ABS(E2)&lt;0.000001,"PASS","FAIL")</x:f>
        <x:v>PASS</x:v>
      </x:c>
      <x:c r="G2" t="str">
        <x:v>52k denominator and family allocation</x:v>
      </x:c>
    </x:row>
    <x:row r="3">
      <x:c r="A3" t="str">
        <x:v>C02</x:v>
      </x:c>
      <x:c r="B3" t="str">
        <x:v>FM workforce consistent</x:v>
      </x:c>
      <x:c r="C3" t="n">
        <x:f>'Enterprise Exposure'!B2</x:f>
        <x:v>6000</x:v>
      </x:c>
      <x:c r="D3" t="n">
        <x:f>'Assumptions'!B2</x:f>
        <x:v>6000</x:v>
      </x:c>
      <x:c r="E3" t="n">
        <x:f>C3-D3</x:f>
        <x:v>0</x:v>
      </x:c>
      <x:c r="F3" t="str">
        <x:f>IF(ABS(E3)&lt;0.000001,"PASS","FAIL")</x:f>
        <x:v>PASS</x:v>
      </x:c>
      <x:c r="G3" t="str">
        <x:v>Exposure population</x:v>
      </x:c>
    </x:row>
    <x:row r="4">
      <x:c r="A4" t="str">
        <x:v>C03</x:v>
      </x:c>
      <x:c r="B4" t="str">
        <x:v>FM exposure consistent</x:v>
      </x:c>
      <x:c r="C4" t="n">
        <x:f>'Enterprise Exposure'!E2</x:f>
        <x:v>4200</x:v>
      </x:c>
      <x:c r="D4" t="n">
        <x:f>'Assumptions'!B2*'Assumptions'!B3</x:f>
        <x:v>4200</x:v>
      </x:c>
      <x:c r="E4" t="n">
        <x:f>C4-D4</x:f>
        <x:v>0</x:v>
      </x:c>
      <x:c r="F4" t="str">
        <x:f>IF(ABS(E4)&lt;0.000001,"PASS","FAIL")</x:f>
        <x:v>PASS</x:v>
      </x:c>
      <x:c r="G4" t="str">
        <x:v>Brief-exposure vs engine</x:v>
      </x:c>
    </x:row>
    <x:row r="5">
      <x:c r="A5" t="str">
        <x:v>C04</x:v>
      </x:c>
      <x:c r="B5" t="str">
        <x:v>Displacement M36 hits configured ceiling</x:v>
      </x:c>
      <x:c r="C5" t="n">
        <x:f>'36M Workforce'!B41</x:f>
        <x:v>3570</x:v>
      </x:c>
      <x:c r="D5" t="n">
        <x:f>'Assumptions'!B2*'Assumptions'!B3*'Assumptions'!B4</x:f>
        <x:v>3570</x:v>
      </x:c>
      <x:c r="E5" t="n">
        <x:f>C5-D5</x:f>
        <x:v>0</x:v>
      </x:c>
      <x:c r="F5" t="str">
        <x:f>IF(ABS(E5)&lt;0.000001,"PASS","FAIL")</x:f>
        <x:v>PASS</x:v>
      </x:c>
      <x:c r="G5" t="str">
        <x:v>3,570 baseline WE</x:v>
      </x:c>
    </x:row>
    <x:row r="6">
      <x:c r="A6" t="str">
        <x:v>C05</x:v>
      </x:c>
      <x:c r="B6" t="str">
        <x:v>Attrition M36 follows assumption</x:v>
      </x:c>
      <x:c r="C6" t="n">
        <x:f>'36M Workforce'!D41</x:f>
        <x:v>450</x:v>
      </x:c>
      <x:c r="D6" t="n">
        <x:f>'Assumptions'!B2*'Assumptions'!B5*3</x:f>
        <x:v>450</x:v>
      </x:c>
      <x:c r="E6" t="n">
        <x:f>C6-D6</x:f>
        <x:v>0</x:v>
      </x:c>
      <x:c r="F6" t="str">
        <x:f>IF(ABS(E6)&lt;0.000001,"PASS","FAIL")</x:f>
        <x:v>PASS</x:v>
      </x:c>
      <x:c r="G6" t="str">
        <x:v>450 baseline WE</x:v>
      </x:c>
    </x:row>
    <x:row r="7">
      <x:c r="A7" t="str">
        <x:v>C06</x:v>
      </x:c>
      <x:c r="B7" t="str">
        <x:v>Nonvendor match M36 scaled by readiness</x:v>
      </x:c>
      <x:c r="C7" t="n">
        <x:f>'36M Workforce'!E41</x:f>
        <x:v>429</x:v>
      </x:c>
      <x:c r="D7" t="n">
        <x:f>'Assumptions'!B7*'Assumptions'!B6</x:f>
        <x:v>429</x:v>
      </x:c>
      <x:c r="E7" t="n">
        <x:f>C7-D7</x:f>
        <x:v>0</x:v>
      </x:c>
      <x:c r="F7" t="str">
        <x:f>IF(ABS(E7)&lt;0.000001,"PASS","FAIL")</x:f>
        <x:v>PASS</x:v>
      </x:c>
      <x:c r="G7" t="str">
        <x:v>429 baseline WE</x:v>
      </x:c>
    </x:row>
    <x:row r="8">
      <x:c r="A8" t="str">
        <x:v>C07</x:v>
      </x:c>
      <x:c r="B8" t="str">
        <x:v>Vendor match M36 scaled by readiness</x:v>
      </x:c>
      <x:c r="C8" t="n">
        <x:f>'36M Workforce'!F41</x:f>
        <x:v>156</x:v>
      </x:c>
      <x:c r="D8" t="n">
        <x:f>'Assumptions'!B8*'Assumptions'!B6</x:f>
        <x:v>156</x:v>
      </x:c>
      <x:c r="E8" t="n">
        <x:f>C8-D8</x:f>
        <x:v>0</x:v>
      </x:c>
      <x:c r="F8" t="str">
        <x:f>IF(ABS(E8)&lt;0.000001,"PASS","FAIL")</x:f>
        <x:v>PASS</x:v>
      </x:c>
      <x:c r="G8" t="str">
        <x:v>156 baseline WE</x:v>
      </x:c>
    </x:row>
    <x:row r="9">
      <x:c r="A9" t="str">
        <x:v>C08</x:v>
      </x:c>
      <x:c r="B9" t="str">
        <x:v>Gross programme costs sum to ownership ledger</x:v>
      </x:c>
      <x:c r="C9" t="n">
        <x:f>'Cash &amp; ROI'!B6</x:f>
        <x:v>6000</x:v>
      </x:c>
      <x:c r="D9" t="n">
        <x:f>'Cost Ownership'!E8</x:f>
        <x:v>6000</x:v>
      </x:c>
      <x:c r="E9" t="n">
        <x:f>C9-D9</x:f>
        <x:v>0</x:v>
      </x:c>
      <x:c r="F9" t="str">
        <x:f>IF(ABS(E9)&lt;0.000001,"PASS","FAIL")</x:f>
        <x:v>PASS</x:v>
      </x:c>
      <x:c r="G9" t="str">
        <x:v>No double-count in cash envelope</x:v>
      </x:c>
    </x:row>
    <x:row r="10">
      <x:c r="A10" t="str">
        <x:v>C09</x:v>
      </x:c>
      <x:c r="B10" t="str">
        <x:v>36 months allocated cash equals programme</x:v>
      </x:c>
      <x:c r="C10" t="n">
        <x:f>SUM('36M Workforce'!W6:W41)</x:f>
        <x:v>6000.000000000007</x:v>
      </x:c>
      <x:c r="D10" t="n">
        <x:f>'Investment Bridge'!B7</x:f>
        <x:v>6000</x:v>
      </x:c>
      <x:c r="E10" t="n">
        <x:f>C10-D10</x:f>
        <x:v>7.275957614183426e-12</x:v>
      </x:c>
      <x:c r="F10" t="str">
        <x:f>IF(ABS(E10)&lt;0.000001,"PASS","FAIL")</x:f>
        <x:v>PASS</x:v>
      </x:c>
      <x:c r="G10" t="str">
        <x:v>Timing of costs</x:v>
      </x:c>
    </x:row>
    <x:row r="11">
      <x:c r="A11" t="str">
        <x:v>C10</x:v>
      </x:c>
      <x:c r="B11" t="str">
        <x:v>Hybrid adoption estimate linked once</x:v>
      </x:c>
      <x:c r="C11" t="n">
        <x:f>'Assumptions'!B22</x:f>
        <x:v>3787.5</x:v>
      </x:c>
      <x:c r="D11" t="n">
        <x:f>'Adoption Workings'!I13</x:f>
        <x:v>3787.5</x:v>
      </x:c>
      <x:c r="E11" t="n">
        <x:f>C11-D11</x:f>
        <x:v>0</x:v>
      </x:c>
      <x:c r="F11" t="str">
        <x:f>IF(ABS(E11)&lt;0.000001,"PASS","FAIL")</x:f>
        <x:v>PASS</x:v>
      </x:c>
      <x:c r="G11" t="str">
        <x:v>Rp3,787.5m source</x:v>
      </x:c>
    </x:row>
    <x:row r="12">
      <x:c r="A12" t="str">
        <x:v>C11</x:v>
      </x:c>
      <x:c r="B12" t="str">
        <x:v>Cost owner line items reconcile</x:v>
      </x:c>
      <x:c r="C12" t="n">
        <x:f>'Cost Ownership'!E8</x:f>
        <x:v>6000</x:v>
      </x:c>
      <x:c r="D12" t="n">
        <x:f>SUM('Cost Ownership'!B8:D8)</x:f>
        <x:v>6000</x:v>
      </x:c>
      <x:c r="E12" t="n">
        <x:f>C12-D12</x:f>
        <x:v>0</x:v>
      </x:c>
      <x:c r="F12" t="str">
        <x:f>IF(ABS(E12)&lt;0.000001,"PASS","FAIL")</x:f>
        <x:v>PASS</x:v>
      </x:c>
      <x:c r="G12" t="str">
        <x:v>No missing year of cash</x:v>
      </x:c>
    </x:row>
    <x:row r="13">
      <x:c r="A13" t="str">
        <x:v>C12</x:v>
      </x:c>
      <x:c r="B13" t="str">
        <x:v>M36 residual gap identity</x:v>
      </x:c>
      <x:c r="C13" t="n">
        <x:f>'36M Workforce'!G41</x:f>
        <x:v>2535</x:v>
      </x:c>
      <x:c r="D13" t="n">
        <x:f>MAX(0,'36M Workforce'!B41-SUM('36M Workforce'!D41:F41))</x:f>
        <x:v>2535</x:v>
      </x:c>
      <x:c r="E13" t="n">
        <x:f>C13-D13</x:f>
        <x:v>0</x:v>
      </x:c>
      <x:c r="F13" t="str">
        <x:f>IF(ABS(E13)&lt;0.000001,"PASS","FAIL")</x:f>
        <x:v>PASS</x:v>
      </x:c>
      <x:c r="G13" t="str">
        <x:v>M36 WE</x:v>
      </x:c>
    </x:row>
    <x:row r="14">
      <x:c r="A14" t="str">
        <x:v>C13</x:v>
      </x:c>
      <x:c r="B14" t="str">
        <x:v>Waiting workload pressure decomposition</x:v>
      </x:c>
      <x:c r="C14" t="n">
        <x:f>'Wait Comparator'!B14</x:f>
        <x:v>7020</x:v>
      </x:c>
      <x:c r="D14" t="n">
        <x:f>'Wait Comparator'!B15+'Wait Comparator'!B16</x:f>
        <x:v>7020</x:v>
      </x:c>
      <x:c r="E14" t="n">
        <x:f>C14-D14</x:f>
        <x:v>0</x:v>
      </x:c>
      <x:c r="F14" t="str">
        <x:f>IF(ABS(E14)&lt;0.000001,"PASS","FAIL")</x:f>
        <x:v>PASS</x:v>
      </x:c>
      <x:c r="G14" t="str">
        <x:v>7,020 baseline WE-months; may not hold beyond normal ranges</x:v>
      </x:c>
    </x:row>
    <x:row r="15">
      <x:c r="A15" t="str">
        <x:v>C14</x:v>
      </x:c>
      <x:c r="B15" t="str">
        <x:v>Month-by-month curve reconciliation</x:v>
      </x:c>
      <x:c r="C15" t="n">
        <x:f>MAX(ABS(MAX('36M Workforce'!L5:L41)),ABS(MIN('36M Workforce'!L5:L41)))</x:f>
        <x:v>4.547473508864641e-13</x:v>
      </x:c>
      <x:c r="D15" t="n">
        <x:v>0</x:v>
      </x:c>
      <x:c r="E15" t="n">
        <x:f>C15-D15</x:f>
        <x:v>4.547473508864641e-13</x:v>
      </x:c>
      <x:c r="F15" t="str">
        <x:f>IF(ABS(E15)&lt;0.000001,"PASS","FAIL")</x:f>
        <x:v>PASS</x:v>
      </x:c>
      <x:c r="G15" t="str">
        <x:v>Maximum absolute independent curve residual across all M0–M36</x:v>
      </x:c>
    </x:row>
    <x:row r="16">
      <x:c r="A16" t="str">
        <x:v>C15</x:v>
      </x:c>
      <x:c r="B16" t="str">
        <x:v>Ramp share final displacement</x:v>
      </x:c>
      <x:c r="C16" t="n">
        <x:f>'Ramp Drivers'!B40</x:f>
        <x:v>1</x:v>
      </x:c>
      <x:c r="D16" t="n">
        <x:v>1</x:v>
      </x:c>
      <x:c r="E16" t="n">
        <x:f>C16-D16</x:f>
        <x:v>0</x:v>
      </x:c>
      <x:c r="F16" t="str">
        <x:f>IF(ABS(E16)&lt;0.000001,"PASS","FAIL")</x:f>
        <x:v>PASS</x:v>
      </x:c>
      <x:c r="G16" t="str">
        <x:v>Curve full displacement</x:v>
      </x:c>
    </x:row>
    <x:row r="17">
      <x:c r="A17" t="str">
        <x:v>C16</x:v>
      </x:c>
      <x:c r="B17" t="str">
        <x:v>Ramp share final matched</x:v>
      </x:c>
      <x:c r="C17" t="n">
        <x:f>'Ramp Drivers'!C40</x:f>
        <x:v>1</x:v>
      </x:c>
      <x:c r="D17" t="n">
        <x:v>1</x:v>
      </x:c>
      <x:c r="E17" t="n">
        <x:f>C17-D17</x:f>
        <x:v>0</x:v>
      </x:c>
      <x:c r="F17" t="str">
        <x:f>IF(ABS(E17)&lt;0.000001,"PASS","FAIL")</x:f>
        <x:v>PASS</x:v>
      </x:c>
      <x:c r="G17" t="str">
        <x:v>Curve full matching</x:v>
      </x:c>
    </x:row>
    <x:row r="18">
      <x:c r="A18" t="str">
        <x:v>C17</x:v>
      </x:c>
      <x:c r="B18" t="str">
        <x:v>Total adoption three model approaches</x:v>
      </x:c>
      <x:c r="C18" t="n">
        <x:f>'Adoption Workings'!I13</x:f>
        <x:v>3787.5</x:v>
      </x:c>
      <x:c r="D18" t="n">
        <x:f>SUM('Adoption Workings'!I2:I11)</x:f>
        <x:v>3787.5</x:v>
      </x:c>
      <x:c r="E18" t="n">
        <x:f>C18-D18</x:f>
        <x:v>0</x:v>
      </x:c>
      <x:c r="F18" t="str">
        <x:f>IF(ABS(E18)&lt;0.000001,"PASS","FAIL")</x:f>
        <x:v>PASS</x:v>
      </x:c>
      <x:c r="G18" t="str">
        <x:v>Hybrid effort drivers</x:v>
      </x:c>
    </x:row>
    <x:row r="19">
      <x:c r="A19" t="str">
        <x:v>C18</x:v>
      </x:c>
      <x:c r="B19" t="str">
        <x:v>Counterfactual one-time cost uses single inputs</x:v>
      </x:c>
      <x:c r="C19" t="n">
        <x:f>'Counterfactual Decisions'!B16</x:f>
        <x:v>12000</x:v>
      </x:c>
      <x:c r="D19" t="n">
        <x:f>'Assumptions'!B23*'Assumptions'!B24+'Assumptions'!B25*'Assumptions'!B26+'Assumptions'!B27</x:f>
        <x:v>12000</x:v>
      </x:c>
      <x:c r="E19" t="n">
        <x:f>C19-D19</x:f>
        <x:v>0</x:v>
      </x:c>
      <x:c r="F19" t="str">
        <x:f>IF(ABS(E19)&lt;0.000001,"PASS","FAIL")</x:f>
        <x:v>PASS</x:v>
      </x:c>
      <x:c r="G19" t="str">
        <x:v>PERSONS not work-equivalents</x:v>
      </x:c>
    </x:row>
    <x:row r="20">
      <x:c r="A20" t="str">
        <x:v>C19</x:v>
      </x:c>
      <x:c r="B20" t="str">
        <x:v>Year 1 vendor gross price×volume×capture</x:v>
      </x:c>
      <x:c r="C20" t="n">
        <x:f>'Cash &amp; ROI'!B36</x:f>
        <x:v>2246.3999999999996</x:v>
      </x:c>
      <x:c r="D20" t="n">
        <x:f>'Cash &amp; ROI'!B34*'Assumptions'!B13*'Assumptions'!B29</x:f>
        <x:v>2246.3999999999996</x:v>
      </x:c>
      <x:c r="E20" t="n">
        <x:f>C20-D20</x:f>
        <x:v>0</x:v>
      </x:c>
      <x:c r="F20" t="str">
        <x:f>IF(ABS(E20)&lt;0.000001,"PASS","FAIL")</x:f>
        <x:v>PASS</x:v>
      </x:c>
      <x:c r="G20" t="str">
        <x:v>Conditional cash sensitivity</x:v>
      </x:c>
    </x:row>
    <x:row r="21">
      <x:c r="A21" t="str">
        <x:v>C20</x:v>
      </x:c>
      <x:c r="B21" t="str">
        <x:v>FM workforce nonnegative</x:v>
      </x:c>
      <x:c r="C21" t="n">
        <x:f>'Assumptions'!B2</x:f>
        <x:v>6000</x:v>
      </x:c>
      <x:c r="D21" t="n">
        <x:v>0</x:v>
      </x:c>
      <x:c r="E21" t="n">
        <x:f>MIN(0,C21)</x:f>
        <x:v>0</x:v>
      </x:c>
      <x:c r="F21" t="str">
        <x:f>IF(ABS(E21)&lt;0.000001,"PASS","FAIL")</x:f>
        <x:v>PASS</x:v>
      </x:c>
      <x:c r="G21" t="str">
        <x:v>Input sanity check</x:v>
      </x:c>
    </x:row>
    <x:row r="22">
      <x:c r="A22" t="str">
        <x:v>C21</x:v>
      </x:c>
      <x:c r="B22" t="str">
        <x:v>Readiness is 0–100%</x:v>
      </x:c>
      <x:c r="C22" t="n">
        <x:f>'Assumptions'!B6</x:f>
        <x:v>0.65</x:v>
      </x:c>
      <x:c r="D22" t="n">
        <x:v>1</x:v>
      </x:c>
      <x:c r="E22" t="n">
        <x:f>MAX(0,C22-1,-C22)</x:f>
        <x:v>0</x:v>
      </x:c>
      <x:c r="F22" t="str">
        <x:f>IF(ABS(E22)&lt;0.000001,"PASS","FAIL")</x:f>
        <x:v>PASS</x:v>
      </x:c>
      <x:c r="G22" t="str">
        <x:v>No % outside range</x:v>
      </x:c>
    </x:row>
    <x:row r="23">
      <x:c r="A23" t="str">
        <x:v>C22</x:v>
      </x:c>
      <x:c r="B23" t="str">
        <x:v>Realization is 0–100%</x:v>
      </x:c>
      <x:c r="C23" t="n">
        <x:f>'Assumptions'!B4</x:f>
        <x:v>0.85</x:v>
      </x:c>
      <x:c r="D23" t="n">
        <x:v>1</x:v>
      </x:c>
      <x:c r="E23" t="n">
        <x:f>MAX(0,C23-1,-C23)</x:f>
        <x:v>0</x:v>
      </x:c>
      <x:c r="F23" t="str">
        <x:f>IF(ABS(E23)&lt;0.000001,"PASS","FAIL")</x:f>
        <x:v>PASS</x:v>
      </x:c>
      <x:c r="G23" t="str">
        <x:v>No % outside range</x:v>
      </x:c>
    </x:row>
    <x:row r="24">
      <x:c r="A24" t="str">
        <x:v>C23</x:v>
      </x:c>
      <x:c r="B24" t="str">
        <x:v>Vendor capture is 0–100%</x:v>
      </x:c>
      <x:c r="C24" t="n">
        <x:f>'Assumptions'!B29</x:f>
        <x:v>1</x:v>
      </x:c>
      <x:c r="D24" t="n">
        <x:v>1</x:v>
      </x:c>
      <x:c r="E24" t="n">
        <x:f>MAX(0,C24-1,-C24)</x:f>
        <x:v>0</x:v>
      </x:c>
      <x:c r="F24" t="str">
        <x:f>IF(ABS(E24)&lt;0.000001,"PASS","FAIL")</x:f>
        <x:v>PASS</x:v>
      </x:c>
      <x:c r="G24" t="str">
        <x:v>Conditional cash</x:v>
      </x:c>
    </x:row>
    <x:row r="25">
      <x:c r="A25" t="str">
        <x:v>C24</x:v>
      </x:c>
      <x:c r="B25" t="str">
        <x:v>No negative gap from max rule</x:v>
      </x:c>
      <x:c r="C25" t="n">
        <x:f>MIN('36M Workforce'!G5:G41)</x:f>
        <x:v>0</x:v>
      </x:c>
      <x:c r="D25" t="n">
        <x:v>0</x:v>
      </x:c>
      <x:c r="E25" t="n">
        <x:f>MIN(0,C25)</x:f>
        <x:v>0</x:v>
      </x:c>
      <x:c r="F25" t="str">
        <x:f>IF(ABS(E25)&lt;0.000001,"PASS","FAIL")</x:f>
        <x:v>PASS</x:v>
      </x:c>
      <x:c r="G25" t="str">
        <x:v>Workforce model</x:v>
      </x:c>
    </x:row>
    <x:row r="26">
      <x:c r="A26" t="str">
        <x:v>C25</x:v>
      </x:c>
      <x:c r="B26" t="str">
        <x:v>Baseline snapshot regression</x:v>
      </x:c>
      <x:c r="C26" t="n">
        <x:f>COUNTIF('Baseline Reference'!M4:M40,"FAIL")</x:f>
        <x:v>0</x:v>
      </x:c>
      <x:c r="D26" t="n">
        <x:v>0</x:v>
      </x:c>
      <x:c r="E26" t="n">
        <x:f>C26-D26</x:f>
        <x:v>0</x:v>
      </x:c>
      <x:c r="F26" t="str">
        <x:f>IF(ABS(E26)&lt;0.000001,"PASS","FAIL")</x:f>
        <x:v>PASS</x:v>
      </x:c>
      <x:c r="G26" t="str">
        <x:v>Only tested when baseline inputs restored</x:v>
      </x:c>
    </x:row>
    <x:row r="27">
      <x:c r="A27" t="str">
        <x:v>C26</x:v>
      </x:c>
      <x:c r="B27" t="str">
        <x:v>All baseline or scenario rows properly classified</x:v>
      </x:c>
      <x:c r="C27" t="n">
        <x:f>COUNTIF('Baseline Reference'!M4:M40,"PASS")+COUNTIF('Baseline Reference'!M4:M40,"SCENARIO")</x:f>
        <x:v>37</x:v>
      </x:c>
      <x:c r="D27" t="n">
        <x:v>37</x:v>
      </x:c>
      <x:c r="E27" t="n">
        <x:f>C27-D27</x:f>
        <x:v>0</x:v>
      </x:c>
      <x:c r="F27" t="str">
        <x:f>IF(ABS(E27)&lt;0.000001,"PASS","FAIL")</x:f>
        <x:v>PASS</x:v>
      </x:c>
      <x:c r="G27" t="str">
        <x:v>37 months classification</x:v>
      </x:c>
    </x:row>
    <x:row r="29" ht="24" customHeight="1">
      <x:c r="A29" s="76" t="str">
        <x:v>LIVE MODEL STATUS</x:v>
      </x:c>
      <x:c r="B29" s="76"/>
      <x:c r="C29" s="76"/>
      <x:c r="D29" s="76"/>
      <x:c r="E29" s="76"/>
      <x:c r="F29" s="76"/>
      <x:c r="G29" s="76"/>
    </x:row>
    <x:row r="30">
      <x:c r="A30" t="str">
        <x:v>Broken numeric controls</x:v>
      </x:c>
      <x:c r="B30" t="n">
        <x:f>COUNTIF(F2:F27,"FAIL")</x:f>
        <x:v>0</x:v>
      </x:c>
      <x:c r="C30" t="str">
        <x:f>IF(B30=0,"PASS","FAIL")</x:f>
        <x:v>PASS</x:v>
      </x:c>
      <x:c r="D30"/>
      <x:c r="E30"/>
      <x:c r="F30"/>
      <x:c r="G30"/>
    </x:row>
    <x:row r="31">
      <x:c r="A31" t="str">
        <x:v>Working scenario</x:v>
      </x:c>
      <x:c r="B31" t="str">
        <x:f>'Baseline Reference'!K40</x:f>
        <x:v>BASELINE</x:v>
      </x:c>
      <x:c r="C31"/>
      <x:c r="D31"/>
      <x:c r="E31"/>
      <x:c r="F31"/>
      <x:c r="G31"/>
    </x:row>
    <x:row r="32">
      <x:c r="A32" t="str">
        <x:v>Evidence limitation</x:v>
      </x:c>
      <x:c r="B32" t="str">
        <x:v>UNVALIDATED vendor demand</x:v>
      </x:c>
      <x:c r="C32" t="str">
        <x:v>Not a cash forecast</x:v>
      </x:c>
      <x:c r="D32" t="str">
        <x:v>Synthetic 85% realization</x:v>
      </x:c>
      <x:c r="E32" t="str">
        <x:v>Unpriced Client mobility</x:v>
      </x:c>
      <x:c r="F32" t="str">
        <x:v>Do not represent as TCO</x:v>
      </x:c>
      <x:c r="G32"/>
    </x:row>
    <x:row r="33">
      <x:c r="A33" t="str">
        <x:v>Rule</x:v>
      </x:c>
      <x:c r="B33" t="str">
        <x:v>Any FAIL: do not freeze</x:v>
      </x:c>
      <x:c r="C33" t="str">
        <x:v>PASS does not validate Client</x:v>
      </x:c>
      <x:c r="D33" t="str">
        <x:v>Baseline is one hypothetical scenario</x:v>
      </x:c>
      <x:c r="E33"/>
      <x:c r="F33"/>
      <x:c r="G33"/>
    </x:row>
    <x:row r="35" ht="28" customHeight="1">
      <x:c r="A35" s="108" t="str">
        <x:v>BUSINESS VALIDATION GATES (NOT NUMERIC FORMULA CHECKS)</x:v>
      </x:c>
      <x:c r="B35" s="108"/>
      <x:c r="C35" s="108"/>
      <x:c r="D35" s="108"/>
      <x:c r="E35" s="108"/>
      <x:c r="F35" s="108"/>
    </x:row>
    <x:row r="36" ht="28" customHeight="1">
      <x:c r="A36" s="113" t="str">
        <x:v>GATE</x:v>
      </x:c>
      <x:c r="B36" s="113" t="str">
        <x:v>STATUS</x:v>
      </x:c>
      <x:c r="C36" s="113" t="str">
        <x:v>WHAT IS NOT PROVEN</x:v>
      </x:c>
      <x:c r="D36" s="113" t="str">
        <x:v>EVIDENCE NEEDED</x:v>
      </x:c>
      <x:c r="E36" s="113" t="str">
        <x:v>DECISION LIMIT</x:v>
      </x:c>
      <x:c r="F36" s="113" t="str">
        <x:v>OWNER</x:v>
      </x:c>
    </x:row>
    <x:row r="37" ht="49" customHeight="1">
      <x:c r="A37" s="63" t="str">
        <x:v>Contract avoidability</x:v>
      </x:c>
      <x:c r="B37" s="63" t="str">
        <x:v>UNVALIDATED</x:v>
      </x:c>
      <x:c r="C37" s="63" t="str">
        <x:v>3,900 candidate vendor FTE-months are not verified spend</x:v>
      </x:c>
      <x:c r="D37" s="63" t="str">
        <x:v>Cancellable vendor contracts and attributable task volume</x:v>
      </x:c>
      <x:c r="E37" s="63" t="str">
        <x:v>Never call +290% a forecast</x:v>
      </x:c>
      <x:c r="F37" s="63" t="str">
        <x:v>Finance + Procurement</x:v>
      </x:c>
    </x:row>
    <x:row r="38" ht="49" customHeight="1">
      <x:c r="A38" s="63" t="str">
        <x:v>Receiving demand</x:v>
      </x:c>
      <x:c r="B38" s="63" t="str">
        <x:v>CLAIMED</x:v>
      </x:c>
      <x:c r="C38" s="63" t="str">
        <x:v>900 WE are not funded or approved vacancies</x:v>
      </x:c>
      <x:c r="D38" s="63" t="str">
        <x:v>Two independent workload sources, budget owner, safety &amp; timing</x:v>
      </x:c>
      <x:c r="E38" s="63" t="str">
        <x:v>No scaled mobility promise</x:v>
      </x:c>
      <x:c r="F38" s="63" t="str">
        <x:v>Operations + Finance</x:v>
      </x:c>
    </x:row>
    <x:row r="39" ht="49" customHeight="1">
      <x:c r="A39" s="63" t="str">
        <x:v>TCO completeness</x:v>
      </x:c>
      <x:c r="B39" s="63" t="str">
        <x:v>UNRECONCILED</x:v>
      </x:c>
      <x:c r="C39" s="63" t="str">
        <x:v>Rp3.79B effort overlap with Rp6B envelope unknown</x:v>
      </x:c>
      <x:c r="D39" s="63" t="str">
        <x:v>Work-package ledger: internal time, fee, licensing, training</x:v>
      </x:c>
      <x:c r="E39" s="63" t="str">
        <x:v>No final scale approval on incomplete denominator</x:v>
      </x:c>
      <x:c r="F39" s="63" t="str">
        <x:v>Finance + Rakamin</x:v>
      </x:c>
    </x:row>
    <x:row r="40" ht="49" customHeight="1">
      <x:c r="A40" s="63" t="str">
        <x:v>Employee capability evidence</x:v>
      </x:c>
      <x:c r="B40" s="63" t="str">
        <x:v>NOT OBSERVED</x:v>
      </x:c>
      <x:c r="C40" s="63" t="str">
        <x:v>B1–B4 sample individual evidence is synthetic</x:v>
      </x:c>
      <x:c r="D40" s="63" t="str">
        <x:v>Voluntary assessed task samples, independent checker, correction rights</x:v>
      </x:c>
      <x:c r="E40" s="63" t="str">
        <x:v>No adverse action or placement automation</x:v>
      </x:c>
      <x:c r="F40" s="63" t="str">
        <x:v>HC + Union liaison</x:v>
      </x:c>
    </x:row>
    <x:row r="41" ht="49" customHeight="1">
      <x:c r="A41" s="63" t="str">
        <x:v>Day-90 actual outcomes</x:v>
      </x:c>
      <x:c r="B41" s="63" t="str">
        <x:v>NOT OBSERVED</x:v>
      </x:c>
      <x:c r="C41" s="63" t="str">
        <x:v>Fictional model does not establish live Client pilot results</x:v>
      </x:c>
      <x:c r="D41" s="63" t="str">
        <x:v>D30/60/90 pilot artefacts, sign-offs, appeal log, operating measures</x:v>
      </x:c>
      <x:c r="E41" s="63" t="str">
        <x:v>Board considers bounded evidence not success claims</x:v>
      </x:c>
      <x:c r="F41" s="63" t="str">
        <x:v>Director HC</x:v>
      </x:c>
    </x:row>
  </x:sheetData>
  <x:conditionalFormatting sqref="F2:F27">
    <x:cfRule type="expression" dxfId="1" priority="1">
      <x:formula>$F2="FAIL"</x:formula>
    </x:cfRule>
    <x:cfRule type="expression" dxfId="2" priority="2">
      <x:formula>$F2="PASS"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20" hidden="0" customWidth="1"/>
    <x:col min="3" max="3" width="74" hidden="0" customWidth="1"/>
    <x:col min="4" max="4" width="46" hidden="0" customWidth="1"/>
    <x:col min="5" max="5" width="22" hidden="0" customWidth="1"/>
    <x:col min="6" max="6" width="85" hidden="0" customWidth="1"/>
  </x:cols>
  <x:sheetData>
    <x:row r="1" ht="35" customHeight="1">
      <x:c r="A1" s="98" t="str">
        <x:v>PROJECT MERIDIAN — FINANCIAL &amp; WORKFORCE DECISION READOUT</x:v>
      </x:c>
      <x:c r="B1" s="98"/>
      <x:c r="C1" s="98"/>
      <x:c r="D1" s="98"/>
      <x:c r="E1" s="98"/>
      <x:c r="F1" s="98"/>
    </x:row>
    <x:row r="2" ht="26" customHeight="1">
      <x:c r="A2" t="str">
        <x:v>INTERNAL MODEL | All figures below update with Assumptions &amp; Ramp Drivers. Blue = input; green = cross-sheet link; black = formula.</x:v>
      </x:c>
      <x:c r="B2"/>
      <x:c r="C2"/>
      <x:c r="D2"/>
      <x:c r="E2"/>
      <x:c r="F2"/>
    </x:row>
    <x:row r="3" ht="29" customHeight="1">
      <x:c r="A3" s="66" t="str">
        <x:v>WORKFORCE / UNITS</x:v>
      </x:c>
      <x:c r="B3" s="66" t="str">
        <x:v>LIVE VALUE</x:v>
      </x:c>
      <x:c r="C3" s="66" t="str">
        <x:v>BASIS</x:v>
      </x:c>
      <x:c r="D3" s="66" t="str">
        <x:v>ECONOMICS / Rp million</x:v>
      </x:c>
      <x:c r="E3" s="66" t="str">
        <x:v>LIVE VALUE</x:v>
      </x:c>
      <x:c r="F3" s="66" t="str">
        <x:v>INTERPRETATION</x:v>
      </x:c>
    </x:row>
    <x:row r="4" ht="36" customHeight="1">
      <x:c r="A4" s="63" t="str">
        <x:v>FM people</x:v>
      </x:c>
      <x:c r="B4" s="103" t="n">
        <x:f>'Assumptions'!B2</x:f>
        <x:v>6000</x:v>
      </x:c>
      <x:c r="C4" s="63" t="str">
        <x:v>BRIEF population</x:v>
      </x:c>
      <x:c r="D4" s="63" t="str">
        <x:v>Rakamin engagement fee</x:v>
      </x:c>
      <x:c r="E4" s="104" t="n">
        <x:f>'Assumptions'!B9</x:f>
        <x:v>3500</x:v>
      </x:c>
      <x:c r="F4" s="63" t="str">
        <x:v>BRIEF 12 months</x:v>
      </x:c>
    </x:row>
    <x:row r="5" ht="36" customHeight="1">
      <x:c r="A5" s="63" t="str">
        <x:v>Exposed work equivalent</x:v>
      </x:c>
      <x:c r="B5" s="103" t="n">
        <x:f>'Assumptions'!B2*'Assumptions'!B3</x:f>
        <x:v>4200</x:v>
      </x:c>
      <x:c r="C5" s="63" t="str">
        <x:v>BRIEF exposure, not persons lost</x:v>
      </x:c>
      <x:c r="D5" s="63" t="str">
        <x:v>Programme cash envelope</x:v>
      </x:c>
      <x:c r="E5" s="104" t="n">
        <x:f>'Investment Bridge'!B7</x:f>
        <x:v>6000</x:v>
      </x:c>
      <x:c r="F5" s="63" t="str">
        <x:v>ILLUSTRATIVE 36-month, not full TCO</x:v>
      </x:c>
    </x:row>
    <x:row r="6" ht="36" customHeight="1">
      <x:c r="A6" s="63" t="str">
        <x:v>Realized displaced work by M18</x:v>
      </x:c>
      <x:c r="B6" s="103" t="n">
        <x:f>'36M Workforce'!B23</x:f>
        <x:v>3570</x:v>
      </x:c>
      <x:c r="C6" s="63" t="str">
        <x:v>85% of exposure SYNTHETIC</x:v>
      </x:c>
      <x:c r="D6" s="63" t="str">
        <x:v>Hybrid architecture resource estimate</x:v>
      </x:c>
      <x:c r="E6" s="104" t="n">
        <x:f>'Adoption Workings'!I13</x:f>
        <x:v>3787.5</x:v>
      </x:c>
      <x:c r="F6" s="63" t="str">
        <x:v>SYNTHETIC valuation; overlapping share unknown</x:v>
      </x:c>
    </x:row>
    <x:row r="7" ht="36" customHeight="1">
      <x:c r="A7" s="63" t="str">
        <x:v>Candidate receiving demand</x:v>
      </x:c>
      <x:c r="B7" s="103" t="n">
        <x:f>'Assumptions'!B7+'Assumptions'!B8</x:f>
        <x:v>900</x:v>
      </x:c>
      <x:c r="C7" s="63" t="str">
        <x:v>UNBACKED assumption, WE</x:v>
      </x:c>
      <x:c r="D7" s="63" t="str">
        <x:v>Potential vendor FTE-months</x:v>
      </x:c>
      <x:c r="E7" s="104" t="n">
        <x:f>'Cash &amp; ROI'!B9</x:f>
        <x:v>3900</x:v>
      </x:c>
      <x:c r="F7" s="63" t="str">
        <x:v>No signed avoidable contracts in brief</x:v>
      </x:c>
    </x:row>
    <x:row r="8" ht="36" customHeight="1">
      <x:c r="A8" s="63" t="str">
        <x:v>Modelled matched WE at M36</x:v>
      </x:c>
      <x:c r="B8" s="103" t="n">
        <x:f>'36M Workforce'!E41+'36M Workforce'!F41</x:f>
        <x:v>585</x:v>
      </x:c>
      <x:c r="C8" s="63" t="str">
        <x:v>Not confirmed placements</x:v>
      </x:c>
      <x:c r="D8" s="63" t="str">
        <x:v>Vendor break-even price</x:v>
      </x:c>
      <x:c r="E8" s="106" t="n">
        <x:f>'Cash &amp; ROI'!B19</x:f>
        <x:v>1.5384615384615385</x:v>
      </x:c>
      <x:c r="F8" s="63" t="str">
        <x:v>Rp m / candidate FTE-month; vendor-only</x:v>
      </x:c>
    </x:row>
    <x:row r="9" ht="36" customHeight="1">
      <x:c r="A9" s="63" t="str">
        <x:v>No-backfill attrition at M36</x:v>
      </x:c>
      <x:c r="B9" s="103" t="n">
        <x:f>'36M Workforce'!D41</x:f>
        <x:v>450</x:v>
      </x:c>
      <x:c r="C9" s="63" t="str">
        <x:v>Not redeployment</x:v>
      </x:c>
      <x:c r="D9" s="63" t="str">
        <x:v>Gross vendor ROI (full capture)</x:v>
      </x:c>
      <x:c r="E9" s="105" t="n">
        <x:f>'Cash &amp; ROI'!B15</x:f>
        <x:v>2.9</x:v>
      </x:c>
      <x:c r="F9" s="63" t="str">
        <x:v>100% vendor-capture upside vs illustrative programme; NOT forecast or act-now vs wait ROI</x:v>
      </x:c>
    </x:row>
    <x:row r="10" ht="36" customHeight="1">
      <x:c r="A10" s="63" t="str">
        <x:v>Unresolved gap at M36</x:v>
      </x:c>
      <x:c r="B10" s="103" t="n">
        <x:f>'36M Workforce'!G41</x:f>
        <x:v>2535</x:v>
      </x:c>
      <x:c r="C10" s="63" t="str">
        <x:v>Capacity, not people exiting</x:v>
      </x:c>
      <x:c r="D10" s="63" t="str">
        <x:v>Zero-vendor cash ROI</x:v>
      </x:c>
      <x:c r="E10" s="105" t="n">
        <x:f>'Cash &amp; ROI'!B16</x:f>
        <x:v>-1</x:v>
      </x:c>
      <x:c r="F10" s="63" t="str">
        <x:v>Modelled cash categories only</x:v>
      </x:c>
    </x:row>
    <x:row r="11" ht="36" customHeight="1">
      <x:c r="A11" s="63" t="str">
        <x:v>Required receiving capacity at M18</x:v>
      </x:c>
      <x:c r="B11" s="103" t="n">
        <x:f>'Cash &amp; ROI'!B29</x:f>
        <x:v>5146.153846153846</x:v>
      </x:c>
      <x:c r="C11" s="63" t="str">
        <x:v>Assumes readiness same</x:v>
      </x:c>
      <x:c r="D11" s="63" t="str">
        <x:v>90d already-specified fee allocation</x:v>
      </x:c>
      <x:c r="E11" s="104" t="n">
        <x:f>'Investment Bridge'!B9</x:f>
        <x:v>875</x:v>
      </x:c>
      <x:c r="F11" s="63" t="str">
        <x:v>Committed fee pro-rated; not new ask</x:v>
      </x:c>
    </x:row>
    <x:row r="12" ht="36" customHeight="1">
      <x:c r="A12" s="63" t="str">
        <x:v>Required receiving capacity at M36</x:v>
      </x:c>
      <x:c r="B12" s="103" t="n">
        <x:f>'Cash &amp; ROI'!B30</x:f>
        <x:v>4800</x:v>
      </x:c>
      <x:c r="C12" s="63" t="str">
        <x:v>Before alternative redesign levers</x:v>
      </x:c>
      <x:c r="D12" s="63" t="str">
        <x:v>90d incremental Y1 allowance</x:v>
      </x:c>
      <x:c r="E12" s="104" t="n">
        <x:f>'Investment Bridge'!B10</x:f>
        <x:v>375</x:v>
      </x:c>
      <x:c r="F12" s="63" t="str">
        <x:v>Synthetic; authorisation required</x:v>
      </x:c>
    </x:row>
    <x:row r="13" ht="36" customHeight="1">
      <x:c r="A13" s="63" t="str">
        <x:v>Waiting extra WE-months in Y1</x:v>
      </x:c>
      <x:c r="B13" s="103" t="n">
        <x:f>'Wait Comparator'!B7</x:f>
        <x:v>1404</x:v>
      </x:c>
      <x:c r="C13" s="63" t="str">
        <x:v>Automation unchanged; 12m delayed matching</x:v>
      </x:c>
      <x:c r="D13" s="63" t="str">
        <x:v>Conditional cash opportunity from waiting /36M</x:v>
      </x:c>
      <x:c r="E13" s="104" t="n">
        <x:f>'Wait Comparator'!B17</x:f>
        <x:v>11232</x:v>
      </x:c>
      <x:c r="F13" s="63" t="str">
        <x:v>Not net financial impact of waiting</x:v>
      </x:c>
    </x:row>
    <x:row r="14" ht="36" customHeight="1">
      <x:c r="A14" s="63" t="str">
        <x:v>Waiting extra WE-months through M36</x:v>
      </x:c>
      <x:c r="B14" s="103" t="n">
        <x:f>'Wait Comparator'!B14</x:f>
        <x:v>7020</x:v>
      </x:c>
      <x:c r="C14" s="63" t="str">
        <x:v>Cumulative pressure; NOT job losses</x:v>
      </x:c>
      <x:c r="D14" s="63" t="str">
        <x:v>Counterfactual layoff/re-hire stress</x:v>
      </x:c>
      <x:c r="E14" s="104" t="n">
        <x:f>'Counterfactual Decisions'!B16</x:f>
        <x:v>12000</x:v>
      </x:c>
      <x:c r="F14" s="63" t="str">
        <x:v>Fictional PEOPLE inputs, prohibited alternative</x:v>
      </x:c>
    </x:row>
    <x:row r="15" ht="36" customHeight="1">
      <x:c r="A15" s="63" t="str">
        <x:v>Model control failures</x:v>
      </x:c>
      <x:c r="B15" s="103" t="n">
        <x:f>'Model Controls'!B30</x:f>
        <x:v>0</x:v>
      </x:c>
      <x:c r="C15" s="63" t="str">
        <x:v>ZERO required before freeze</x:v>
      </x:c>
      <x:c r="D15" s="63" t="str">
        <x:v>Unpriced scope</x:v>
      </x:c>
      <x:c r="E15" s="63"/>
      <x:c r="F15" s="63" t="str">
        <x:v>Licences, travel, full training, mobility</x:v>
      </x:c>
    </x:row>
    <x:row r="17" ht="24" customHeight="1">
      <x:c r="A17" s="76" t="str">
        <x:v>DATA CONFIDENCE &amp; DECISION BOUNDARIES</x:v>
      </x:c>
      <x:c r="B17" s="76"/>
      <x:c r="C17" s="76"/>
      <x:c r="D17" s="76"/>
      <x:c r="E17" s="76"/>
      <x:c r="F17" s="76"/>
    </x:row>
    <x:row r="18">
      <x:c r="A18" t="str">
        <x:v>1</x:v>
      </x:c>
      <x:c r="B18" t="str">
        <x:v>BRIEF-FACT</x:v>
      </x:c>
      <x:c r="C18" t="str">
        <x:v>52k, 6k, 70% exposure, Rp3.5B fee</x:v>
      </x:c>
      <x:c r="D18" t="str">
        <x:v>Never represent realization or placement as case-observed</x:v>
      </x:c>
      <x:c r="E18"/>
      <x:c r="F18"/>
    </x:row>
    <x:row r="19">
      <x:c r="A19" t="str">
        <x:v>2</x:v>
      </x:c>
      <x:c r="B19" t="str">
        <x:v>SYNTHETIC</x:v>
      </x:c>
      <x:c r="C19" t="str">
        <x:v>85% realization, 65% readiness, 900 assumed roles</x:v>
      </x:c>
      <x:c r="D19" t="str">
        <x:v>Change inputs only in Assumptions; schedule factors in Ramp Drivers</x:v>
      </x:c>
      <x:c r="E19"/>
      <x:c r="F19"/>
    </x:row>
    <x:row r="20">
      <x:c r="A20" t="str">
        <x:v>3</x:v>
      </x:c>
      <x:c r="B20" t="str">
        <x:v>CONDITIONAL CASH</x:v>
      </x:c>
      <x:c r="C20" t="str">
        <x:v>Vendor price/capture and genuinely avoidable spend</x:v>
      </x:c>
      <x:c r="D20" t="str">
        <x:v>Cash ROI excludes nonvendor productivity shadow value</x:v>
      </x:c>
      <x:c r="E20"/>
      <x:c r="F20"/>
    </x:row>
    <x:row r="21">
      <x:c r="A21" t="str">
        <x:v>4</x:v>
      </x:c>
      <x:c r="B21" t="str">
        <x:v>NONCASH</x:v>
      </x:c>
      <x:c r="C21" t="str">
        <x:v>Work pressure, productive-work value scenarios</x:v>
      </x:c>
      <x:c r="D21" t="str">
        <x:v>WE-months are NOT payroll cash or number of exits</x:v>
      </x:c>
      <x:c r="E21"/>
      <x:c r="F21"/>
    </x:row>
    <x:row r="22">
      <x:c r="A22" t="str">
        <x:v>5</x:v>
      </x:c>
      <x:c r="B22" t="str">
        <x:v>COST OWNERSHIP</x:v>
      </x:c>
      <x:c r="C22" t="str">
        <x:v>Rp6B cash envelope vs Rp3.7875B effort</x:v>
      </x:c>
      <x:c r="D22" t="str">
        <x:v>Overlap unknown and unpriced scope: no audited TCO claim</x:v>
      </x:c>
      <x:c r="E22"/>
      <x:c r="F22"/>
    </x:row>
    <x:row r="23">
      <x:c r="A23" t="str">
        <x:v>6</x:v>
      </x:c>
      <x:c r="B23" t="str">
        <x:v>PEOPLE PROTECTIONS</x:v>
      </x:c>
      <x:c r="C23" t="str">
        <x:v>No coercive assessments or inferred separations</x:v>
      </x:c>
      <x:c r="D23" t="str">
        <x:v>No absent skill data treated as incapability</x:v>
      </x:c>
      <x:c r="E23"/>
      <x:c r="F23"/>
    </x:row>
    <x:row r="24">
      <x:c r="A24" t="str">
        <x:v>7</x:v>
      </x:c>
      <x:c r="B24" t="str">
        <x:v>VALIDATION</x:v>
      </x:c>
      <x:c r="C24" t="str">
        <x:v>Evidence Register names the accountable verifier</x:v>
      </x:c>
      <x:c r="D24" t="str">
        <x:v>Zero backed roles means no scale promise, not zero actual demand</x:v>
      </x:c>
      <x:c r="E24"/>
      <x:c r="F24"/>
    </x:row>
    <x:row r="25" ht="24" customHeight="1">
      <x:c r="A25" s="76" t="str">
        <x:v>CONTROL</x:v>
      </x:c>
      <x:c r="B25" s="76" t="str">
        <x:v>MODEL HEALTH</x:v>
      </x:c>
      <x:c r="C25" s="76" t="str">
        <x:f>IF('Model Controls'!B30=0,"ALL NUMERIC CONTROLS PASS","CHECK MODEL CONTROLS")</x:f>
        <x:v>ALL NUMERIC CONTROLS PASS</x:v>
      </x:c>
      <x:c r="D25" s="76"/>
      <x:c r="E25" s="76"/>
      <x:c r="F25" s="76"/>
    </x:row>
    <x:row r="26">
      <x:c r="A26" s="108" t="str">
        <x:v>INTERPRETATION GUARDRAILS</x:v>
      </x:c>
      <x:c r="B26" s="108"/>
      <x:c r="C26" s="108"/>
      <x:c r="D26" s="108"/>
      <x:c r="E26" s="108"/>
      <x:c r="F26" s="108"/>
    </x:row>
    <x:row r="27" ht="42" customHeight="1">
      <x:c r="A27" s="63" t="str">
        <x:v>ROI denominator</x:v>
      </x:c>
      <x:c r="B27" s="63" t="str">
        <x:v>Rp6B illustrative 36-month cash</x:v>
      </x:c>
      <x:c r="C27" s="63" t="str">
        <x:v>Fee Rp3.5B is brief-sourced; other cash is synthetic</x:v>
      </x:c>
      <x:c r="D27" s="63" t="str">
        <x:v>Do not present +290% as expected return</x:v>
      </x:c>
      <x:c r="E27" s="63"/>
      <x:c r="F27" s="63"/>
    </x:row>
    <x:row r="28" ht="42" customHeight="1">
      <x:c r="A28" s="63" t="str">
        <x:v>Act now vs wait</x:v>
      </x:c>
      <x:c r="B28" s="63" t="str">
        <x:v>1,872 vendor FTE-month difference to M36</x:v>
      </x:c>
      <x:c r="C28" s="63" t="str">
        <x:v>Price × capture conditional on avoidable work</x:v>
      </x:c>
      <x:c r="D28" s="63" t="str">
        <x:v>Both cases may incur programme costs at different times</x:v>
      </x:c>
      <x:c r="E28" s="63"/>
      <x:c r="F28" s="63"/>
    </x:row>
    <x:row r="29" ht="42" customHeight="1">
      <x:c r="A29" s="63" t="str">
        <x:v>Skill evidence vs matchability</x:v>
      </x:c>
      <x:c r="B29" s="63" t="str">
        <x:v>65% is a workforce planning factor</x:v>
      </x:c>
      <x:c r="C29" s="63" t="str">
        <x:v>Task proficiency/confidence established individually</x:v>
      </x:c>
      <x:c r="D29" s="63" t="str">
        <x:v>No automatic conversion of WE into people or placements</x:v>
      </x:c>
      <x:c r="E29" s="63"/>
      <x:c r="F29" s="63"/>
    </x:row>
  </x:sheetData>
  <x:pageMargins left="0.7" right="0.7" top="0.75" bottom="0.75" header="0.3" footer="0.3"/>
</x:worksheet>
</file>